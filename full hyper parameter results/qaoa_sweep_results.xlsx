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b2a805a638f38/Desktop/grad project ;)/secound semesters code/hyper parameter sweep/sweep on dfj/full results/"/>
    </mc:Choice>
  </mc:AlternateContent>
  <xr:revisionPtr revIDLastSave="3509" documentId="8_{A5B2E7F3-82C7-4D41-84FD-DCCAF4BD0355}" xr6:coauthVersionLast="47" xr6:coauthVersionMax="47" xr10:uidLastSave="{D6BB370A-4662-4EF0-84E5-A0934906D1D0}"/>
  <bookViews>
    <workbookView xWindow="-110" yWindow="-110" windowWidth="19420" windowHeight="10300" tabRatio="1000" firstSheet="2" activeTab="5" xr2:uid="{CEE72277-DB81-4207-BEF5-159D29562F91}"/>
  </bookViews>
  <sheets>
    <sheet name="Sheet1" sheetId="1" r:id="rId1"/>
    <sheet name="_ChartData" sheetId="6" state="hidden" r:id="rId2"/>
    <sheet name="Time Analysis" sheetId="7" r:id="rId3"/>
    <sheet name="Validity Analysis" sheetId="8" r:id="rId4"/>
    <sheet name="Ranking Analysis" sheetId="9" r:id="rId5"/>
    <sheet name="P_Disaggregated" sheetId="10" r:id="rId6"/>
    <sheet name="MaxIter_Disaggregated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I5" i="11" s="1"/>
  <c r="G5" i="11"/>
  <c r="H4" i="11"/>
  <c r="I4" i="11" s="1"/>
  <c r="G4" i="11"/>
  <c r="H3" i="11"/>
  <c r="I3" i="11" s="1"/>
  <c r="G3" i="11"/>
  <c r="D5" i="11"/>
  <c r="C5" i="11"/>
  <c r="B5" i="11"/>
  <c r="C4" i="11"/>
  <c r="B4" i="11"/>
  <c r="C3" i="11"/>
  <c r="D3" i="11" s="1"/>
  <c r="B3" i="11"/>
  <c r="M6" i="10"/>
  <c r="L6" i="10"/>
  <c r="K6" i="10"/>
  <c r="J6" i="10"/>
  <c r="I6" i="10"/>
  <c r="M5" i="10"/>
  <c r="L5" i="10"/>
  <c r="K5" i="10"/>
  <c r="J5" i="10"/>
  <c r="I5" i="10"/>
  <c r="M4" i="10"/>
  <c r="L4" i="10"/>
  <c r="K4" i="10"/>
  <c r="J4" i="10"/>
  <c r="I4" i="10"/>
  <c r="M3" i="10"/>
  <c r="L3" i="10"/>
  <c r="K3" i="10"/>
  <c r="J3" i="10"/>
  <c r="I3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B40" i="8"/>
  <c r="C40" i="8"/>
  <c r="D40" i="8" s="1"/>
  <c r="B39" i="8"/>
  <c r="C39" i="8"/>
  <c r="R4" i="7"/>
  <c r="R5" i="7"/>
  <c r="O4" i="7"/>
  <c r="O5" i="7"/>
  <c r="L4" i="7"/>
  <c r="L5" i="7"/>
  <c r="L6" i="7"/>
  <c r="L7" i="7"/>
  <c r="I4" i="7"/>
  <c r="I5" i="7"/>
  <c r="I6" i="7"/>
  <c r="C34" i="8"/>
  <c r="C35" i="8"/>
  <c r="C36" i="8"/>
  <c r="B36" i="8"/>
  <c r="B35" i="8"/>
  <c r="B34" i="8"/>
  <c r="B43" i="9"/>
  <c r="C43" i="9"/>
  <c r="D43" i="9" s="1"/>
  <c r="B42" i="9"/>
  <c r="C42" i="9"/>
  <c r="B41" i="9"/>
  <c r="C41" i="9"/>
  <c r="B35" i="9"/>
  <c r="C35" i="9"/>
  <c r="D35" i="9" s="1"/>
  <c r="B34" i="9"/>
  <c r="C34" i="9"/>
  <c r="D34" i="9" s="1"/>
  <c r="D4" i="11" l="1"/>
  <c r="D39" i="8"/>
  <c r="D34" i="8"/>
  <c r="D36" i="8"/>
  <c r="D35" i="8"/>
  <c r="D41" i="9"/>
  <c r="D42" i="9"/>
</calcChain>
</file>

<file path=xl/sharedStrings.xml><?xml version="1.0" encoding="utf-8"?>
<sst xmlns="http://schemas.openxmlformats.org/spreadsheetml/2006/main" count="6766" uniqueCount="129">
  <si>
    <t>instance</t>
  </si>
  <si>
    <t>k</t>
  </si>
  <si>
    <t>reps</t>
  </si>
  <si>
    <t>penalty_mult</t>
  </si>
  <si>
    <t>optimizer</t>
  </si>
  <si>
    <t>maxiter</t>
  </si>
  <si>
    <t>restarts</t>
  </si>
  <si>
    <t>n_qubits</t>
  </si>
  <si>
    <t>formulation</t>
  </si>
  <si>
    <t>final_energy</t>
  </si>
  <si>
    <t>topk_cost</t>
  </si>
  <si>
    <t>mp_cost</t>
  </si>
  <si>
    <t>global_cost</t>
  </si>
  <si>
    <t>optimal_cost</t>
  </si>
  <si>
    <t>topk_gap_pct</t>
  </si>
  <si>
    <t>mp_gap_pct</t>
  </si>
  <si>
    <t>global_gap_pct</t>
  </si>
  <si>
    <t>valid_frac</t>
  </si>
  <si>
    <t>zero_valid</t>
  </si>
  <si>
    <t>best_prob_rank</t>
  </si>
  <si>
    <t>wall_time_s</t>
  </si>
  <si>
    <t>RioClaroPostToy_5_0</t>
  </si>
  <si>
    <t>COBYLA</t>
  </si>
  <si>
    <t>pos-idx</t>
  </si>
  <si>
    <t>inf</t>
  </si>
  <si>
    <t>ADAM</t>
  </si>
  <si>
    <t>edge</t>
  </si>
  <si>
    <t>RioClaroPostToy_5_1</t>
  </si>
  <si>
    <t>RioClaroPostToy_5_2</t>
  </si>
  <si>
    <t>SPSA</t>
  </si>
  <si>
    <t xml:space="preserve"> </t>
  </si>
  <si>
    <t>Fleet Size (k)</t>
  </si>
  <si>
    <t>k=1</t>
  </si>
  <si>
    <t>k=2</t>
  </si>
  <si>
    <t>k=3</t>
  </si>
  <si>
    <t>k=4</t>
  </si>
  <si>
    <t>Optimizer</t>
  </si>
  <si>
    <t>Reps (p)</t>
  </si>
  <si>
    <t>Restarts = 1</t>
  </si>
  <si>
    <t>Restarts = 3</t>
  </si>
  <si>
    <t>Config</t>
  </si>
  <si>
    <t>maxiter = 50</t>
  </si>
  <si>
    <t>maxiter = 200</t>
  </si>
  <si>
    <t>restarts = 1</t>
  </si>
  <si>
    <t>restarts = 3</t>
  </si>
  <si>
    <t>p = 1</t>
  </si>
  <si>
    <t>p = 2</t>
  </si>
  <si>
    <t>p = 3</t>
  </si>
  <si>
    <t>p = 5</t>
  </si>
  <si>
    <t>Rank = 1</t>
  </si>
  <si>
    <t>Rank ≠ 1</t>
  </si>
  <si>
    <t>QAOA Execution Time vs. Performance Analysis</t>
  </si>
  <si>
    <t>MaxIter</t>
  </si>
  <si>
    <t>Restarts</t>
  </si>
  <si>
    <t>Total Runs</t>
  </si>
  <si>
    <t>Avg Time (s)</t>
  </si>
  <si>
    <t>TOTAL / OVERALL</t>
  </si>
  <si>
    <t>QAOA Complete Failure (zero_valid) Correlation Analysis</t>
  </si>
  <si>
    <t>1. Failure Rate by Fleet Size (k)</t>
  </si>
  <si>
    <t>Failures</t>
  </si>
  <si>
    <t>Failure Rate (%)</t>
  </si>
  <si>
    <t>2. Failure Rate by Optimizer</t>
  </si>
  <si>
    <t>3. Failure Rate by Restarts</t>
  </si>
  <si>
    <t>4. Failure Rate by QAOA Reps (p)</t>
  </si>
  <si>
    <t>QAOA Optimal Ranking (best_prob_rank = 1) Correlation Analysis</t>
  </si>
  <si>
    <t>1. Rank-1 Distribution by Fleet Size (k)</t>
  </si>
  <si>
    <t>Runs with Rank = 1</t>
  </si>
  <si>
    <t>Runs with Rank ≠ 1</t>
  </si>
  <si>
    <t>Rank-1 Rate (%)</t>
  </si>
  <si>
    <t>Insight: k=4 dominates Rank-1 optimality (60.4%) — the largest search space most cleanly isolates the optimal route when the algorithm converges, contrary to its poor validity score (see Validity Analysis).</t>
  </si>
  <si>
    <t>2. Rank-1 Rate by Optimizer</t>
  </si>
  <si>
    <t>Rank = 1 Count</t>
  </si>
  <si>
    <t>Insight: ADAM leads Rank-1 rate (32.6%) despite having the highest absolute failure rate (40.3%) — a high-risk/high-reward optimizer: fails often, but when it succeeds it identifies the optimum with highest probability mass.</t>
  </si>
  <si>
    <t>3. Rank-1 Rate by QAOA Reps (p)</t>
  </si>
  <si>
    <t>4. Rank-1 Rate by Restarts</t>
  </si>
  <si>
    <t>• FLEET SIZE PARADOX: k=4 has the HIGHEST failure rate (39.6%) but the HIGHEST Rank-1 rate (60.4%). Larger fleets are harder to solve, but when QAOA converges it produces sharper probability mass on the optimum.</t>
  </si>
  <si>
    <t>• OPTIMIZER TRADE-OFF: COBYLA is the most RELIABLE (6.3% failure) but offers only middling Rank-1 quality (30.7%). ADAM is the RISKIEST (40.3% failure) yet best Rank-1 (32.6%). SPSA is the worst of both worlds on this dataset.</t>
  </si>
  <si>
    <t>• DEPTH (reps/p): p=3 delivers the best Rank-1 rate (34.7%); p=2 minimises failures (17.6%). No single depth wins both — tune to priority.</t>
  </si>
  <si>
    <t>• RESTARTS HELP BOTH: restarts=3 vs restarts=1 cuts failure rate (17.7% vs 32.9%) AND improves Rank-1 rate (35.1% vs 27.3%). Multiple restarts are a strict win.</t>
  </si>
  <si>
    <t>5. Failure Rate by MaxIter</t>
  </si>
  <si>
    <t>Key Insights — Validity (Complete Failure Drivers)</t>
  </si>
  <si>
    <t>#</t>
  </si>
  <si>
    <t>Driver</t>
  </si>
  <si>
    <t>Finding</t>
  </si>
  <si>
    <t>Optimizer choice dominates</t>
  </si>
  <si>
    <t>COBYLA fails only 6.3% of the time vs. ADAM 40.3% and SPSA 29.3%. Optimizer selection is the single largest lever on validity — ~6.4x gap between best and worst.</t>
  </si>
  <si>
    <t>Restarts materially help</t>
  </si>
  <si>
    <t>Going from 1 → 3 restarts cuts failure rate nearly in half (32.9% → 17.7%). Multi-start is a cheap and effective reliability booster.</t>
  </si>
  <si>
    <t>QAOA depth (p) has weak, non-monotonic effect</t>
  </si>
  <si>
    <t>Failure rates: p=1: 29.2%, p=2: 17.6%, p=3: 29.6%, p=5: 24.8%. p=2 is the sweet spot; deeper circuits don't reliably improve validity and may add noise.</t>
  </si>
  <si>
    <t>MaxIter barely moves the needle</t>
  </si>
  <si>
    <t>50 iters: 26.2% vs. 200 iters: 24.4%. Only ~1.7pp difference — budget beyond 50 iterations is largely wasted for validity; spend compute on restarts or optimizer choice instead.</t>
  </si>
  <si>
    <t>Worst-case combination</t>
  </si>
  <si>
    <t>k=4 + ADAM = 61.1% failure rate (highest cell in the cross-tab). ADAM struggles sharply as fleet size grows (15.3% → 43.1% → 41.7% → 61.1%).</t>
  </si>
  <si>
    <t>Best-case combination</t>
  </si>
  <si>
    <t>k=1 + COBYLA = 1.4% failure rate. COBYLA stays below ~10% across ALL fleet sizes, making it the most robust choice regardless of problem scale.</t>
  </si>
  <si>
    <t>Recommended config for validity</t>
  </si>
  <si>
    <t>COBYLA + 3 restarts + p=2 + maxIter=50. Prioritize optimizer and restarts over circuit depth and iteration budget.</t>
  </si>
  <si>
    <t>Insight: MaxIter has minimal impact on Rank-1 rate — doubling iterations from 50 to 200 barely shifts optimality concentration. Iteration budget beyond 50 is largely wasted; spend compute on restarts or optimizer choice instead.</t>
  </si>
  <si>
    <t>7. Summary Insights — Validity vs. Optimality Trade-off</t>
  </si>
  <si>
    <t>5. Rank-1 Rate by MaxIter</t>
  </si>
  <si>
    <t>6. Rank-1 Rate by Penalty Multiplier</t>
  </si>
  <si>
    <t>Penalty Mult</t>
  </si>
  <si>
    <t>Insight: Penalty=2 delivers the best Rank-1 rate (35.2%); higher penalties (5, 10) degrade optimality by 4.5–7.6pp. Over-penalising constraint violations distorts the cost landscape and pushes QAOA away from the true optimum.</t>
  </si>
  <si>
    <t>• PENALTY MULT: Penalty=2 is best for Rank-1 (35.2%); 5 and 10 hurt optimality (27.6% and 30.7%). Lower penalty preserves the cost-landscape gradient QAOA needs to converge.</t>
  </si>
  <si>
    <t>Penalty multiplier is irrelevant for validity</t>
  </si>
  <si>
    <t>Failure rates across penalty=2/5/10 are 24.5%, 25.9%, 25.5% — a &lt;1.5pp spread. Use penalty tuning purely for optimality (see Ranking Analysis), not reliability.</t>
  </si>
  <si>
    <t>• RECOMMENDED CONFIG FOR RELIABILITY: COBYLA + restarts=3 + p=2 + penalty=2 — minimises zero-valid failures (penalty choice is neutral for validity).</t>
  </si>
  <si>
    <t>• RECOMMENDED CONFIG FOR OPTIMALITY: ADAM + restarts=3 + p=3 + penalty=2 — maximises Rank-1 concentration (accept higher failure risk).</t>
  </si>
  <si>
    <t>Formulation</t>
  </si>
  <si>
    <t>6. Failure Rate by Penalty Multiplier</t>
  </si>
  <si>
    <t>7. Failure Rate by Formulation (pos-idx vs edge)</t>
  </si>
  <si>
    <t xml:space="preserve">coblya </t>
  </si>
  <si>
    <t>adam</t>
  </si>
  <si>
    <t>Table A — Failure Rate (%) by Optimizer × Reps (p)</t>
  </si>
  <si>
    <t>p=1</t>
  </si>
  <si>
    <t>p=2</t>
  </si>
  <si>
    <t>p=3</t>
  </si>
  <si>
    <t>p=5</t>
  </si>
  <si>
    <t>Row Total (%)</t>
  </si>
  <si>
    <t>Col Total (%)</t>
  </si>
  <si>
    <t>Table B — Rank-1 Rate (%) by Optimizer × Reps (p)</t>
  </si>
  <si>
    <t>Note: COBYLA row is highlighted green — clean signal for thesis reporting. Table C shows the monotonic depth-scaling effect most cleanly (COBYLA row: valid_frac grows ~8× from p=1 to p=5 on non-failed runs).</t>
  </si>
  <si>
    <t>Table A — Failure Rate (%) by Optimizer × MaxIter</t>
  </si>
  <si>
    <t>maxiter=50</t>
  </si>
  <si>
    <t>maxiter=200</t>
  </si>
  <si>
    <t>Δ (200 − 50)</t>
  </si>
  <si>
    <t>Table B — Rank-1 Rate (%) by Optimizer × MaxIter</t>
  </si>
  <si>
    <t>Note: SPSA highlighted pink — the ONLY optimizer where MaxIter materially affects performance. ADAM and COBYLA deltas are exactly 0 to 4 decimals, indicating convergence saturation well below maxiter=50.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</si>
</sst>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\+0.0000;\-0.0000;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1" fillId="3" borderId="2" xfId="0" applyFont="1" applyFill="1" applyBorder="1"/>
    <xf numFmtId="0" fontId="1" fillId="4" borderId="0" xfId="0" applyFont="1" applyFill="1"/>
    <xf numFmtId="2" fontId="1" fillId="4" borderId="0" xfId="0" applyNumberFormat="1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3" borderId="0" xfId="0" applyFont="1" applyFill="1"/>
    <xf numFmtId="2" fontId="1" fillId="3" borderId="0" xfId="0" applyNumberFormat="1" applyFont="1" applyFill="1"/>
    <xf numFmtId="0" fontId="8" fillId="0" borderId="0" xfId="0" applyFont="1"/>
    <xf numFmtId="0" fontId="4" fillId="8" borderId="0" xfId="0" applyFont="1" applyFill="1"/>
    <xf numFmtId="0" fontId="0" fillId="0" borderId="0" xfId="0"/>
    <xf numFmtId="0" fontId="3" fillId="7" borderId="0" xfId="0" applyFont="1" applyFill="1" applyAlignment="1">
      <alignment horizontal="center"/>
    </xf>
    <xf numFmtId="0" fontId="5" fillId="9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6" borderId="0" xfId="0" applyFont="1" applyFill="1"/>
    <xf numFmtId="0" fontId="3" fillId="5" borderId="0" xfId="0" applyFont="1" applyFill="1" applyAlignment="1">
      <alignment horizontal="center"/>
    </xf>
    <xf numFmtId="0" fontId="9" fillId="0" borderId="0" xfId="0" applyFont="1"/>
    <xf numFmtId="0" fontId="1" fillId="10" borderId="0" xfId="0" applyFont="1" applyFill="1"/>
    <xf numFmtId="0" fontId="1" fillId="10" borderId="0" xfId="0" applyFont="1" applyFill="1" applyAlignment="1">
      <alignment horizontal="center"/>
    </xf>
    <xf numFmtId="2" fontId="1" fillId="0" borderId="0" xfId="0" applyNumberFormat="1" applyFont="1"/>
    <xf numFmtId="0" fontId="1" fillId="8" borderId="0" xfId="0" applyFont="1" applyFill="1"/>
    <xf numFmtId="2" fontId="0" fillId="8" borderId="0" xfId="0" applyNumberFormat="1" applyFill="1"/>
    <xf numFmtId="2" fontId="1" fillId="8" borderId="0" xfId="0" applyNumberFormat="1" applyFont="1" applyFill="1"/>
    <xf numFmtId="0" fontId="1" fillId="9" borderId="0" xfId="0" applyFont="1" applyFill="1"/>
    <xf numFmtId="2" fontId="1" fillId="9" borderId="0" xfId="0" applyNumberFormat="1" applyFont="1" applyFill="1"/>
    <xf numFmtId="0" fontId="1" fillId="6" borderId="0" xfId="0" applyFont="1" applyFill="1" applyAlignment="1">
      <alignment horizontal="center"/>
    </xf>
    <xf numFmtId="166" fontId="1" fillId="9" borderId="0" xfId="0" applyNumberFormat="1" applyFont="1" applyFill="1"/>
    <xf numFmtId="0" fontId="1" fillId="11" borderId="0" xfId="0" applyFont="1" applyFill="1"/>
    <xf numFmtId="165" fontId="0" fillId="11" borderId="0" xfId="0" applyNumberFormat="1" applyFill="1"/>
    <xf numFmtId="166" fontId="1" fillId="6" borderId="0" xfId="0" applyNumberFormat="1" applyFont="1" applyFill="1"/>
  </cellXfs>
  <cellStyles count="1">
    <cellStyle name="Normal" xfId="0" builtinId="0"/>
  </cellStyles>
  <dxfs count="12">
    <dxf>
      <numFmt numFmtId="2" formatCode="0.00"/>
    </dxf>
    <dxf>
      <numFmt numFmtId="165" formatCode="0.0000"/>
    </dxf>
    <dxf>
      <numFmt numFmtId="2" formatCode="0.00"/>
    </dxf>
    <dxf>
      <numFmt numFmtId="2" formatCode="0.00"/>
    </dxf>
    <dxf>
      <numFmt numFmtId="2" formatCode="0.00"/>
    </dxf>
    <dxf>
      <numFmt numFmtId="164" formatCode="#,##0.000"/>
    </dxf>
    <dxf>
      <numFmt numFmtId="164" formatCode="#,##0.000"/>
    </dxf>
    <dxf>
      <numFmt numFmtId="164" formatCode="#,##0.000"/>
    </dxf>
    <dxf>
      <numFmt numFmtId="164" formatCode="#,##0.000"/>
    </dxf>
    <dxf>
      <numFmt numFmtId="164" formatCode="#,##0.00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Time by Optimizer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Analysis'!$I$3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Analysis'!$H$4:$H$6</c:f>
              <c:strCache>
                <c:ptCount val="3"/>
                <c:pt idx="0">
                  <c:v>ADAM</c:v>
                </c:pt>
                <c:pt idx="1">
                  <c:v>COBYLA</c:v>
                </c:pt>
                <c:pt idx="2">
                  <c:v>SPSA</c:v>
                </c:pt>
              </c:strCache>
            </c:strRef>
          </c:cat>
          <c:val>
            <c:numRef>
              <c:f>'Time Analysis'!$I$4:$I$6</c:f>
              <c:numCache>
                <c:formatCode>0.00</c:formatCode>
                <c:ptCount val="3"/>
                <c:pt idx="0">
                  <c:v>8.521840277777768</c:v>
                </c:pt>
                <c:pt idx="1">
                  <c:v>27.699965277777792</c:v>
                </c:pt>
                <c:pt idx="2">
                  <c:v>156.30956597222223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C-4551-A1EF-31F276B84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397856"/>
        <c:axId val="1147393056"/>
      </c:barChart>
      <c:catAx>
        <c:axId val="1147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93056"/>
        <c:crosses val="autoZero"/>
        <c:auto val="1"/>
        <c:lblAlgn val="ctr"/>
        <c:lblOffset val="100"/>
        <c:noMultiLvlLbl val="0"/>
      </c:catAx>
      <c:valAx>
        <c:axId val="11473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Time by Reps (p)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Analysis'!$L$3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'Time Analysis'!$K$4:$K$7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'Time Analysis'!$L$4:$L$7</c:f>
              <c:numCache>
                <c:formatCode>0.00</c:formatCode>
                <c:ptCount val="4"/>
                <c:pt idx="0">
                  <c:v>41.641319444444441</c:v>
                </c:pt>
                <c:pt idx="1">
                  <c:v>54.92990740740737</c:v>
                </c:pt>
                <c:pt idx="2">
                  <c:v>66.038981481481471</c:v>
                </c:pt>
                <c:pt idx="3">
                  <c:v>94.098287037037053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8-4C08-9B7E-EFB2E63D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942432"/>
        <c:axId val="1208944832"/>
      </c:barChart>
      <c:catAx>
        <c:axId val="12089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44832"/>
        <c:crosses val="autoZero"/>
        <c:auto val="1"/>
        <c:lblAlgn val="ctr"/>
        <c:lblOffset val="100"/>
        <c:noMultiLvlLbl val="0"/>
      </c:catAx>
      <c:valAx>
        <c:axId val="12089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Time by Restarts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Analysis'!$O$3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'Time Analysis'!$N$4:$N$5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cat>
          <c:val>
            <c:numRef>
              <c:f>'Time Analysis'!$O$4:$O$5</c:f>
              <c:numCache>
                <c:formatCode>0.00</c:formatCode>
                <c:ptCount val="2"/>
                <c:pt idx="0">
                  <c:v>32.288090277777762</c:v>
                </c:pt>
                <c:pt idx="1">
                  <c:v>96.066157407407417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EDB-A97D-61D3688A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675728"/>
        <c:axId val="1146676688"/>
      </c:barChart>
      <c:catAx>
        <c:axId val="11466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76688"/>
        <c:crosses val="autoZero"/>
        <c:auto val="1"/>
        <c:lblAlgn val="ctr"/>
        <c:lblOffset val="100"/>
        <c:noMultiLvlLbl val="0"/>
      </c:catAx>
      <c:valAx>
        <c:axId val="11466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Time by MaxIter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Analysis'!$R$3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'Time Analysis'!$Q$4:$Q$5</c:f>
              <c:numCache>
                <c:formatCode>General</c:formatCode>
                <c:ptCount val="2"/>
                <c:pt idx="0">
                  <c:v>50</c:v>
                </c:pt>
                <c:pt idx="1">
                  <c:v>200</c:v>
                </c:pt>
              </c:numCache>
            </c:numRef>
          </c:cat>
          <c:val>
            <c:numRef>
              <c:f>'Time Analysis'!$R$4:$R$5</c:f>
              <c:numCache>
                <c:formatCode>0.00</c:formatCode>
                <c:ptCount val="2"/>
                <c:pt idx="0">
                  <c:v>36.427199074074082</c:v>
                </c:pt>
                <c:pt idx="1">
                  <c:v>91.927048611111161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6-47B9-B5C7-4BBF7BF24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000896"/>
        <c:axId val="883002336"/>
      </c:barChart>
      <c:catAx>
        <c:axId val="8830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002336"/>
        <c:crosses val="autoZero"/>
        <c:auto val="1"/>
        <c:lblAlgn val="ctr"/>
        <c:lblOffset val="100"/>
        <c:noMultiLvlLbl val="0"/>
      </c:catAx>
      <c:valAx>
        <c:axId val="88300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0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QAOA Depth Scaling — Disaggregated by Optimizer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P_Disaggregated!$H$3</c:f>
              <c:strCache>
                <c:ptCount val="1"/>
                <c:pt idx="0">
                  <c:v>ADAM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P_Disaggregated!$I$2:$L$2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P_Disaggregated!$I$3:$L$3</c:f>
              <c:numCache>
                <c:formatCode>0.00</c:formatCode>
                <c:ptCount val="4"/>
                <c:pt idx="0">
                  <c:v>15.277777777777779</c:v>
                </c:pt>
                <c:pt idx="1">
                  <c:v>37.5</c:v>
                </c:pt>
                <c:pt idx="2">
                  <c:v>41.666666666666671</c:v>
                </c:pt>
                <c:pt idx="3">
                  <c:v>36.111111111111107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A-4571-8B2B-161C9480BA09}"/>
            </c:ext>
          </c:extLst>
        </c:ser>
        <c:ser>
          <c:idx val="1"/>
          <c:order val="1"/>
          <c:tx>
            <c:strRef>
              <c:f>P_Disaggregated!$H$4</c:f>
              <c:strCache>
                <c:ptCount val="1"/>
                <c:pt idx="0">
                  <c:v>COBYLA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P_Disaggregated!$I$2:$L$2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P_Disaggregated!$I$4:$L$4</c:f>
              <c:numCache>
                <c:formatCode>0.00</c:formatCode>
                <c:ptCount val="4"/>
                <c:pt idx="0">
                  <c:v>27.777777777777779</c:v>
                </c:pt>
                <c:pt idx="1">
                  <c:v>29.166666666666668</c:v>
                </c:pt>
                <c:pt idx="2">
                  <c:v>30.555555555555557</c:v>
                </c:pt>
                <c:pt idx="3">
                  <c:v>35.416666666666671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A-4571-8B2B-161C9480BA09}"/>
            </c:ext>
          </c:extLst>
        </c:ser>
        <c:ser>
          <c:idx val="2"/>
          <c:order val="2"/>
          <c:tx>
            <c:strRef>
              <c:f>P_Disaggregated!$H$5</c:f>
              <c:strCache>
                <c:ptCount val="1"/>
                <c:pt idx="0">
                  <c:v>SPSA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P_Disaggregated!$I$2:$L$2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P_Disaggregated!$I$5:$L$5</c:f>
              <c:numCache>
                <c:formatCode>0.00</c:formatCode>
                <c:ptCount val="4"/>
                <c:pt idx="0">
                  <c:v>36.111111111111107</c:v>
                </c:pt>
                <c:pt idx="1">
                  <c:v>22.916666666666664</c:v>
                </c:pt>
                <c:pt idx="2">
                  <c:v>31.944444444444443</c:v>
                </c:pt>
                <c:pt idx="3">
                  <c:v>29.861111111111111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A-4571-8B2B-161C9480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39231"/>
        <c:axId val="66341407"/>
      </c:lineChart>
      <c:catAx>
        <c:axId val="6803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QAOA Reps 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1407"/>
        <c:crosses val="autoZero"/>
        <c:auto val="1"/>
        <c:lblAlgn val="ctr"/>
        <c:lblOffset val="100"/>
        <c:noMultiLvlLbl val="0"/>
      </c:catAx>
      <c:valAx>
        <c:axId val="663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Rank-1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Failure Rate (%) by Optimizer × Reps (p)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P_Disaggregated!$A$3</c:f>
              <c:strCache>
                <c:ptCount val="1"/>
                <c:pt idx="0">
                  <c:v>ADAM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P_Disaggregated!$B$1:$E$2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P_Disaggregated!$B$3:$E$3</c:f>
              <c:numCache>
                <c:formatCode>0.00</c:formatCode>
                <c:ptCount val="4"/>
                <c:pt idx="0">
                  <c:v>61.111111111111114</c:v>
                </c:pt>
                <c:pt idx="1">
                  <c:v>23.611111111111111</c:v>
                </c:pt>
                <c:pt idx="2">
                  <c:v>43.055555555555557</c:v>
                </c:pt>
                <c:pt idx="3">
                  <c:v>33.333333333333329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9-4F54-8D1A-DB8FE2A2309D}"/>
            </c:ext>
          </c:extLst>
        </c:ser>
        <c:ser>
          <c:idx val="1"/>
          <c:order val="1"/>
          <c:tx>
            <c:strRef>
              <c:f>P_Disaggregated!$A$4</c:f>
              <c:strCache>
                <c:ptCount val="1"/>
                <c:pt idx="0">
                  <c:v>COBYLA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P_Disaggregated!$B$1:$E$2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P_Disaggregated!$B$4:$E$4</c:f>
              <c:numCache>
                <c:formatCode>0.00</c:formatCode>
                <c:ptCount val="4"/>
                <c:pt idx="0">
                  <c:v>1.3888888888888888</c:v>
                </c:pt>
                <c:pt idx="1">
                  <c:v>0</c:v>
                </c:pt>
                <c:pt idx="2">
                  <c:v>15.277777777777779</c:v>
                </c:pt>
                <c:pt idx="3">
                  <c:v>8.3333333333333321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9-4F54-8D1A-DB8FE2A2309D}"/>
            </c:ext>
          </c:extLst>
        </c:ser>
        <c:ser>
          <c:idx val="2"/>
          <c:order val="2"/>
          <c:tx>
            <c:strRef>
              <c:f>P_Disaggregated!$A$5</c:f>
              <c:strCache>
                <c:ptCount val="1"/>
                <c:pt idx="0">
                  <c:v>SPSA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P_Disaggregated!$B$1:$E$2</c:f>
              <c:strCache>
                <c:ptCount val="4"/>
                <c:pt idx="0">
                  <c:v>p=1</c:v>
                </c:pt>
                <c:pt idx="1">
                  <c:v>p=2</c:v>
                </c:pt>
                <c:pt idx="2">
                  <c:v>p=3</c:v>
                </c:pt>
                <c:pt idx="3">
                  <c:v>p=5</c:v>
                </c:pt>
              </c:strCache>
            </c:strRef>
          </c:cat>
          <c:val>
            <c:numRef>
              <c:f>P_Disaggregated!$B$5:$E$5</c:f>
              <c:numCache>
                <c:formatCode>0.00</c:formatCode>
                <c:ptCount val="4"/>
                <c:pt idx="0">
                  <c:v>25</c:v>
                </c:pt>
                <c:pt idx="1">
                  <c:v>29.166666666666668</c:v>
                </c:pt>
                <c:pt idx="2">
                  <c:v>30.555555555555557</c:v>
                </c:pt>
                <c:pt idx="3">
                  <c:v>32.638888888888893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09-4F54-8D1A-DB8FE2A23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94783"/>
        <c:axId val="42595263"/>
      </c:lineChart>
      <c:catAx>
        <c:axId val="4259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5263"/>
        <c:crosses val="autoZero"/>
        <c:auto val="1"/>
        <c:lblAlgn val="ctr"/>
        <c:lblOffset val="100"/>
        <c:noMultiLvlLbl val="0"/>
      </c:catAx>
      <c:valAx>
        <c:axId val="4259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8666024078301"/>
          <c:y val="0.17428021626533463"/>
          <c:w val="0.84619637285193605"/>
          <c:h val="0.66654580394858498"/>
        </c:manualLayout>
      </c:layout>
      <c:lineChart>
        <c:grouping val="standard"/>
        <c:varyColors val="0"/>
        <c:ser>
          <c:idx val="0"/>
          <c:order val="0"/>
          <c:tx>
            <c:strRef>
              <c:f>MaxIter_Disaggregated!$F$3</c:f>
              <c:strCache>
                <c:ptCount val="1"/>
                <c:pt idx="0">
                  <c:v>ADAM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MaxIter_Disaggregated!$G$2:$H$2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MaxIter_Disaggregated!$G$3:$H$3</c:f>
              <c:numCache>
                <c:formatCode>0.0000</c:formatCode>
                <c:ptCount val="2"/>
                <c:pt idx="0">
                  <c:v>32.638888888888893</c:v>
                </c:pt>
                <c:pt idx="1">
                  <c:v>32.638888888888893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8-4228-A1A1-B7BC7A0C3A92}"/>
            </c:ext>
          </c:extLst>
        </c:ser>
        <c:ser>
          <c:idx val="1"/>
          <c:order val="1"/>
          <c:tx>
            <c:strRef>
              <c:f>MaxIter_Disaggregated!$F$4</c:f>
              <c:strCache>
                <c:ptCount val="1"/>
                <c:pt idx="0">
                  <c:v>COBYLA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MaxIter_Disaggregated!$G$2:$H$2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MaxIter_Disaggregated!$G$4:$H$4</c:f>
              <c:numCache>
                <c:formatCode>0.0000</c:formatCode>
                <c:ptCount val="2"/>
                <c:pt idx="0">
                  <c:v>31.25</c:v>
                </c:pt>
                <c:pt idx="1">
                  <c:v>30.208333333333332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8-4228-A1A1-B7BC7A0C3A92}"/>
            </c:ext>
          </c:extLst>
        </c:ser>
        <c:ser>
          <c:idx val="2"/>
          <c:order val="2"/>
          <c:tx>
            <c:strRef>
              <c:f>MaxIter_Disaggregated!$F$5</c:f>
              <c:strCache>
                <c:ptCount val="1"/>
                <c:pt idx="0">
                  <c:v>SPSA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MaxIter_Disaggregated!$G$2:$H$2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MaxIter_Disaggregated!$G$5:$H$5</c:f>
              <c:numCache>
                <c:formatCode>0.0000</c:formatCode>
                <c:ptCount val="2"/>
                <c:pt idx="0">
                  <c:v>30.555555555555557</c:v>
                </c:pt>
                <c:pt idx="1">
                  <c:v>29.861111111111111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8-4228-A1A1-B7BC7A0C3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94591"/>
        <c:axId val="82886911"/>
      </c:lineChart>
      <c:catAx>
        <c:axId val="828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6911"/>
        <c:crosses val="autoZero"/>
        <c:auto val="1"/>
        <c:lblAlgn val="ctr"/>
        <c:lblOffset val="100"/>
        <c:noMultiLvlLbl val="0"/>
      </c:catAx>
      <c:valAx>
        <c:axId val="8288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MaxIter_Disaggregated!$A$3</c:f>
              <c:strCache>
                <c:ptCount val="1"/>
                <c:pt idx="0">
                  <c:v>ADAM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MaxIter_Disaggregated!$B$2:$C$2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MaxIter_Disaggregated!$B$3:$C$3</c:f>
              <c:numCache>
                <c:formatCode>0.0000</c:formatCode>
                <c:ptCount val="2"/>
                <c:pt idx="0">
                  <c:v>40.277777777777779</c:v>
                </c:pt>
                <c:pt idx="1">
                  <c:v>40.277777777777779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F-4048-80F6-8053D60C4546}"/>
            </c:ext>
          </c:extLst>
        </c:ser>
        <c:ser>
          <c:idx val="1"/>
          <c:order val="1"/>
          <c:tx>
            <c:strRef>
              <c:f>MaxIter_Disaggregated!$A$4</c:f>
              <c:strCache>
                <c:ptCount val="1"/>
                <c:pt idx="0">
                  <c:v>COBYLA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MaxIter_Disaggregated!$B$2:$C$2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MaxIter_Disaggregated!$B$4:$C$4</c:f>
              <c:numCache>
                <c:formatCode>0.0000</c:formatCode>
                <c:ptCount val="2"/>
                <c:pt idx="0">
                  <c:v>6.25</c:v>
                </c:pt>
                <c:pt idx="1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F-4048-80F6-8053D60C4546}"/>
            </c:ext>
          </c:extLst>
        </c:ser>
        <c:ser>
          <c:idx val="2"/>
          <c:order val="2"/>
          <c:tx>
            <c:strRef>
              <c:f>MaxIter_Disaggregated!$A$5</c:f>
              <c:strCache>
                <c:ptCount val="1"/>
                <c:pt idx="0">
                  <c:v>SPSA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MaxIter_Disaggregated!$B$2:$C$2</c:f>
              <c:strCache>
                <c:ptCount val="2"/>
                <c:pt idx="0">
                  <c:v>maxiter=50</c:v>
                </c:pt>
                <c:pt idx="1">
                  <c:v>maxiter=200</c:v>
                </c:pt>
              </c:strCache>
            </c:strRef>
          </c:cat>
          <c:val>
            <c:numRef>
              <c:f>MaxIter_Disaggregated!$B$5:$C$5</c:f>
              <c:numCache>
                <c:formatCode>0.0000</c:formatCode>
                <c:ptCount val="2"/>
                <c:pt idx="0">
                  <c:v>31.944444444444443</c:v>
                </c:pt>
                <c:pt idx="1">
                  <c:v>26.736111111111111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F-4048-80F6-8053D60C4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98431"/>
        <c:axId val="82899391"/>
      </c:lineChart>
      <c:catAx>
        <c:axId val="8289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9391"/>
        <c:crosses val="autoZero"/>
        <c:auto val="1"/>
        <c:lblAlgn val="ctr"/>
        <c:lblOffset val="100"/>
        <c:noMultiLvlLbl val="0"/>
      </c:catAx>
      <c:valAx>
        <c:axId val="828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E1072-7663-D263-E02F-E6F4AABAE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7</xdr:row>
      <xdr:rowOff>184149</xdr:rowOff>
    </xdr:from>
    <xdr:to>
      <xdr:col>19</xdr:col>
      <xdr:colOff>0</xdr:colOff>
      <xdr:row>22</xdr:row>
      <xdr:rowOff>184149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0058A-674C-A77C-E947-20618B127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184149</xdr:rowOff>
    </xdr:from>
    <xdr:to>
      <xdr:col>13</xdr:col>
      <xdr:colOff>0</xdr:colOff>
      <xdr:row>38</xdr:row>
      <xdr:rowOff>184149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22B687-5C40-C288-3009-AFF95B616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23</xdr:row>
      <xdr:rowOff>184149</xdr:rowOff>
    </xdr:from>
    <xdr:to>
      <xdr:col>19</xdr:col>
      <xdr:colOff>0</xdr:colOff>
      <xdr:row>38</xdr:row>
      <xdr:rowOff>184149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D8293F-8AB2-0370-D1DC-CD13FFC1F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350345</xdr:colOff>
      <xdr:row>9</xdr:row>
      <xdr:rowOff>30873</xdr:rowOff>
    </xdr:from>
    <xdr:to>
      <xdr:col>16</xdr:col>
      <xdr:colOff>547414</xdr:colOff>
      <xdr:row>26</xdr:row>
      <xdr:rowOff>30874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DB2AE-F251-833E-2393-4895D7419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615293</xdr:colOff>
      <xdr:row>9</xdr:row>
      <xdr:rowOff>122839</xdr:rowOff>
    </xdr:from>
    <xdr:to>
      <xdr:col>5</xdr:col>
      <xdr:colOff>424793</xdr:colOff>
      <xdr:row>24</xdr:row>
      <xdr:rowOff>74229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1AC81-5631-D51A-3848-4B24A9E4E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477693</xdr:colOff>
      <xdr:row>11</xdr:row>
      <xdr:rowOff>149513</xdr:rowOff>
    </xdr:from>
    <xdr:to>
      <xdr:col>9</xdr:col>
      <xdr:colOff>489239</xdr:colOff>
      <xdr:row>26</xdr:row>
      <xdr:rowOff>81395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468E6-62C2-BEFD-99DA-2E2AA7F30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467592</xdr:colOff>
      <xdr:row>11</xdr:row>
      <xdr:rowOff>123536</xdr:rowOff>
    </xdr:from>
    <xdr:to>
      <xdr:col>4</xdr:col>
      <xdr:colOff>467592</xdr:colOff>
      <xdr:row>26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8A39DE-EA47-C0F0-B43A-7F2C7D65E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84720-37E9-4347-84D8-39E7A64FF267}" name="RunsData" displayName="RunsData" ref="A1:V1730" totalsRowShown="0" headerRowDxfId="11" headerRowBorderDxfId="10">
  <autoFilter ref="A1:V1730" xr:uid="{A6A84720-37E9-4347-84D8-39E7A64FF267}">
    <filterColumn colId="4">
      <filters>
        <filter val="SPSA"/>
      </filters>
    </filterColumn>
  </autoFilter>
  <tableColumns count="22">
    <tableColumn id="2" xr3:uid="{494165CB-B7F8-480E-97A6-8041E2044C7F}" name="instance"/>
    <tableColumn id="3" xr3:uid="{8DEF5795-AA3F-4008-975A-32D53AA261C3}" name="k"/>
    <tableColumn id="4" xr3:uid="{002DC0C7-8AF4-47C3-B316-8DEE61CA6490}" name="reps"/>
    <tableColumn id="5" xr3:uid="{CB1CF431-6CD2-4A74-93E7-971B84BD0F27}" name="penalty_mult"/>
    <tableColumn id="6" xr3:uid="{19A69C22-3FF3-4729-815F-2A7AE094C45D}" name="optimizer"/>
    <tableColumn id="7" xr3:uid="{4EB1FF8B-7676-4F33-BD37-825BA7FBAA98}" name="maxiter"/>
    <tableColumn id="8" xr3:uid="{81C2D0E2-87EF-4288-BCB9-9DAA781AB58D}" name="restarts"/>
    <tableColumn id="9" xr3:uid="{1E5D7531-99E3-488B-AE11-5E368B183711}" name="n_qubits"/>
    <tableColumn id="10" xr3:uid="{63BC1CBB-EABB-407D-B192-ACCB54572CCF}" name="formulation"/>
    <tableColumn id="11" xr3:uid="{CAFC2065-D05F-4294-A292-0EE00E37515B}" name="final_energy" dataDxfId="9"/>
    <tableColumn id="12" xr3:uid="{05A67095-84EB-46F1-86AD-23FCA1B7247F}" name="topk_cost" dataDxfId="8"/>
    <tableColumn id="13" xr3:uid="{ECC325FB-D1A7-470F-AA50-954DB50BAD05}" name="mp_cost" dataDxfId="7"/>
    <tableColumn id="14" xr3:uid="{E2A41F30-3D5F-436B-80DA-D21162A88782}" name="global_cost" dataDxfId="6"/>
    <tableColumn id="15" xr3:uid="{816DB62F-2F84-4652-AEC2-E86C3CD18F44}" name="optimal_cost" dataDxfId="5"/>
    <tableColumn id="16" xr3:uid="{2867D77E-980F-44AF-8E32-DE1399683462}" name="topk_gap_pct" dataDxfId="4"/>
    <tableColumn id="17" xr3:uid="{F93D3623-73D0-4773-A072-8766853B2D38}" name="mp_gap_pct" dataDxfId="3"/>
    <tableColumn id="18" xr3:uid="{752DDA4B-7698-449A-86AA-BF869080F791}" name="global_gap_pct" dataDxfId="2"/>
    <tableColumn id="19" xr3:uid="{44D4A62B-73ED-4AA2-BE64-0455604E08FD}" name="valid_frac" dataDxfId="1"/>
    <tableColumn id="20" xr3:uid="{8C6EB5F6-A857-4EC8-A654-37948152604A}" name=" "/>
    <tableColumn id="21" xr3:uid="{85551C40-0760-440A-9F87-66109E26FD77}" name="zero_valid"/>
    <tableColumn id="22" xr3:uid="{9A4CE6AD-08C6-409B-B483-35A383299423}" name="best_prob_rank"/>
    <tableColumn id="23" xr3:uid="{7F22C95F-D3F9-4408-9B26-A08E3CD3B645}" name="wall_time_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3B1F80-4EB7-413C-8185-92DF96FC1D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119cb58-3c3e-4eb3-8102-66d8b07d27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CB3B-0477-4654-880A-1F89F6D68620}">
  <dimension ref="A1:V1730"/>
  <sheetViews>
    <sheetView workbookViewId="0">
      <pane ySplit="1" topLeftCell="A1718" activePane="bottomLeft" state="frozen"/>
      <selection pane="bottomLeft" activeCell="D1731" sqref="D1731"/>
    </sheetView>
  </sheetViews>
  <sheetFormatPr defaultRowHeight="14.5" x14ac:dyDescent="0.35"/>
  <cols>
    <col min="1" max="1" width="17.90625" bestFit="1" customWidth="1"/>
    <col min="2" max="2" width="6.36328125" bestFit="1" customWidth="1"/>
    <col min="3" max="3" width="9" bestFit="1" customWidth="1"/>
    <col min="4" max="4" width="16.36328125" bestFit="1" customWidth="1"/>
    <col min="5" max="5" width="13.26953125" bestFit="1" customWidth="1"/>
    <col min="6" max="7" width="11.7265625" bestFit="1" customWidth="1"/>
    <col min="8" max="8" width="12.6328125" bestFit="1" customWidth="1"/>
    <col min="9" max="9" width="15.1796875" bestFit="1" customWidth="1"/>
    <col min="10" max="10" width="15.54296875" bestFit="1" customWidth="1"/>
    <col min="11" max="11" width="13.453125" bestFit="1" customWidth="1"/>
    <col min="12" max="12" width="12.453125" bestFit="1" customWidth="1"/>
    <col min="13" max="13" width="14.81640625" bestFit="1" customWidth="1"/>
    <col min="14" max="14" width="16.1796875" bestFit="1" customWidth="1"/>
    <col min="15" max="15" width="16.453125" bestFit="1" customWidth="1"/>
    <col min="16" max="16" width="15.453125" bestFit="1" customWidth="1"/>
    <col min="17" max="17" width="17.90625" bestFit="1" customWidth="1"/>
    <col min="18" max="18" width="13.54296875" bestFit="1" customWidth="1"/>
    <col min="19" max="19" width="5.7265625" bestFit="1" customWidth="1"/>
    <col min="20" max="20" width="13.7265625" bestFit="1" customWidth="1"/>
    <col min="21" max="21" width="18.26953125" bestFit="1" customWidth="1"/>
    <col min="22" max="22" width="15.1796875" bestFit="1" customWidth="1"/>
  </cols>
  <sheetData>
    <row r="1" spans="1:22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30</v>
      </c>
      <c r="T1" s="2" t="s">
        <v>18</v>
      </c>
      <c r="U1" s="2" t="s">
        <v>19</v>
      </c>
      <c r="V1" s="2" t="s">
        <v>20</v>
      </c>
    </row>
    <row r="2" spans="1:22" hidden="1" x14ac:dyDescent="0.35">
      <c r="A2" t="s">
        <v>21</v>
      </c>
      <c r="B2">
        <v>1</v>
      </c>
      <c r="C2">
        <v>1</v>
      </c>
      <c r="D2">
        <v>2</v>
      </c>
      <c r="E2" t="s">
        <v>22</v>
      </c>
      <c r="F2">
        <v>50</v>
      </c>
      <c r="G2">
        <v>1</v>
      </c>
      <c r="H2">
        <v>16</v>
      </c>
      <c r="I2" t="s">
        <v>23</v>
      </c>
      <c r="J2" s="3">
        <v>133.08199400000001</v>
      </c>
      <c r="K2" s="3" t="s">
        <v>24</v>
      </c>
      <c r="L2" s="3" t="s">
        <v>24</v>
      </c>
      <c r="M2" s="3" t="s">
        <v>24</v>
      </c>
      <c r="N2" s="3">
        <v>12214.556</v>
      </c>
      <c r="O2" s="4"/>
      <c r="P2" s="4"/>
      <c r="Q2" s="4"/>
      <c r="R2" s="5">
        <v>0</v>
      </c>
      <c r="S2">
        <v>0</v>
      </c>
      <c r="T2" t="b">
        <v>1</v>
      </c>
      <c r="U2">
        <v>-1</v>
      </c>
      <c r="V2" s="4">
        <v>4.82</v>
      </c>
    </row>
    <row r="3" spans="1:22" hidden="1" x14ac:dyDescent="0.35">
      <c r="A3" t="s">
        <v>21</v>
      </c>
      <c r="B3">
        <v>1</v>
      </c>
      <c r="C3">
        <v>1</v>
      </c>
      <c r="D3">
        <v>2</v>
      </c>
      <c r="E3" t="s">
        <v>22</v>
      </c>
      <c r="F3">
        <v>50</v>
      </c>
      <c r="G3">
        <v>3</v>
      </c>
      <c r="H3">
        <v>16</v>
      </c>
      <c r="I3" t="s">
        <v>23</v>
      </c>
      <c r="J3" s="3">
        <v>125.0288</v>
      </c>
      <c r="K3" s="3">
        <v>12214.556</v>
      </c>
      <c r="L3" s="3">
        <v>13028.438</v>
      </c>
      <c r="M3" s="3">
        <v>12214.556</v>
      </c>
      <c r="N3" s="3">
        <v>12214.556</v>
      </c>
      <c r="O3" s="4">
        <v>0</v>
      </c>
      <c r="P3" s="4">
        <v>6.6631999999999998</v>
      </c>
      <c r="Q3" s="4">
        <v>0</v>
      </c>
      <c r="R3" s="5">
        <v>1.2999999999999999E-3</v>
      </c>
      <c r="S3">
        <v>12</v>
      </c>
      <c r="T3" t="b">
        <v>0</v>
      </c>
      <c r="U3">
        <v>5</v>
      </c>
      <c r="V3" s="4">
        <v>14.28</v>
      </c>
    </row>
    <row r="4" spans="1:22" hidden="1" x14ac:dyDescent="0.35">
      <c r="A4" t="s">
        <v>21</v>
      </c>
      <c r="B4">
        <v>1</v>
      </c>
      <c r="C4">
        <v>1</v>
      </c>
      <c r="D4">
        <v>2</v>
      </c>
      <c r="E4" t="s">
        <v>22</v>
      </c>
      <c r="F4">
        <v>200</v>
      </c>
      <c r="G4">
        <v>1</v>
      </c>
      <c r="H4">
        <v>16</v>
      </c>
      <c r="I4" t="s">
        <v>23</v>
      </c>
      <c r="J4" s="3">
        <v>133.08199400000001</v>
      </c>
      <c r="K4" s="3" t="s">
        <v>24</v>
      </c>
      <c r="L4" s="3" t="s">
        <v>24</v>
      </c>
      <c r="M4" s="3" t="s">
        <v>24</v>
      </c>
      <c r="N4" s="3">
        <v>12214.556</v>
      </c>
      <c r="O4" s="4"/>
      <c r="P4" s="4"/>
      <c r="Q4" s="4"/>
      <c r="R4" s="5">
        <v>0</v>
      </c>
      <c r="S4">
        <v>0</v>
      </c>
      <c r="T4" t="b">
        <v>1</v>
      </c>
      <c r="U4">
        <v>-1</v>
      </c>
      <c r="V4" s="4">
        <v>4.37</v>
      </c>
    </row>
    <row r="5" spans="1:22" hidden="1" x14ac:dyDescent="0.35">
      <c r="A5" t="s">
        <v>21</v>
      </c>
      <c r="B5">
        <v>1</v>
      </c>
      <c r="C5">
        <v>1</v>
      </c>
      <c r="D5">
        <v>2</v>
      </c>
      <c r="E5" t="s">
        <v>22</v>
      </c>
      <c r="F5">
        <v>200</v>
      </c>
      <c r="G5">
        <v>3</v>
      </c>
      <c r="H5">
        <v>16</v>
      </c>
      <c r="I5" t="s">
        <v>23</v>
      </c>
      <c r="J5" s="3">
        <v>125.0288</v>
      </c>
      <c r="K5" s="3">
        <v>12214.556</v>
      </c>
      <c r="L5" s="3">
        <v>13028.438</v>
      </c>
      <c r="M5" s="3">
        <v>12214.556</v>
      </c>
      <c r="N5" s="3">
        <v>12214.556</v>
      </c>
      <c r="O5" s="4">
        <v>0</v>
      </c>
      <c r="P5" s="4">
        <v>6.6631999999999998</v>
      </c>
      <c r="Q5" s="4">
        <v>0</v>
      </c>
      <c r="R5" s="5">
        <v>1.2999999999999999E-3</v>
      </c>
      <c r="S5">
        <v>12</v>
      </c>
      <c r="T5" t="b">
        <v>0</v>
      </c>
      <c r="U5">
        <v>5</v>
      </c>
      <c r="V5" s="4">
        <v>14.04</v>
      </c>
    </row>
    <row r="6" spans="1:22" hidden="1" x14ac:dyDescent="0.35">
      <c r="A6" t="s">
        <v>21</v>
      </c>
      <c r="B6">
        <v>1</v>
      </c>
      <c r="C6">
        <v>1</v>
      </c>
      <c r="D6">
        <v>2</v>
      </c>
      <c r="E6" t="s">
        <v>25</v>
      </c>
      <c r="F6">
        <v>50</v>
      </c>
      <c r="G6">
        <v>1</v>
      </c>
      <c r="H6">
        <v>16</v>
      </c>
      <c r="I6" t="s">
        <v>23</v>
      </c>
      <c r="J6" s="3">
        <v>138.21877499999999</v>
      </c>
      <c r="K6" s="3">
        <v>12214.556</v>
      </c>
      <c r="L6" s="3">
        <v>14242.717000000001</v>
      </c>
      <c r="M6" s="3">
        <v>12214.556</v>
      </c>
      <c r="N6" s="3">
        <v>12214.556</v>
      </c>
      <c r="O6" s="4">
        <v>0</v>
      </c>
      <c r="P6" s="4">
        <v>16.604500000000002</v>
      </c>
      <c r="Q6" s="4">
        <v>0</v>
      </c>
      <c r="R6" s="5">
        <v>2.2000000000000001E-3</v>
      </c>
      <c r="S6">
        <v>16</v>
      </c>
      <c r="T6" t="b">
        <v>0</v>
      </c>
      <c r="U6">
        <v>10</v>
      </c>
      <c r="V6" s="4">
        <v>0.95</v>
      </c>
    </row>
    <row r="7" spans="1:22" hidden="1" x14ac:dyDescent="0.35">
      <c r="A7" t="s">
        <v>21</v>
      </c>
      <c r="B7">
        <v>1</v>
      </c>
      <c r="C7">
        <v>1</v>
      </c>
      <c r="D7">
        <v>2</v>
      </c>
      <c r="E7" t="s">
        <v>25</v>
      </c>
      <c r="F7">
        <v>50</v>
      </c>
      <c r="G7">
        <v>3</v>
      </c>
      <c r="H7">
        <v>16</v>
      </c>
      <c r="I7" t="s">
        <v>23</v>
      </c>
      <c r="J7" s="3">
        <v>134.33808099999999</v>
      </c>
      <c r="K7" s="3">
        <v>13576.358</v>
      </c>
      <c r="L7" s="3">
        <v>13576.358</v>
      </c>
      <c r="M7" s="3">
        <v>13576.358</v>
      </c>
      <c r="N7" s="3">
        <v>12214.556</v>
      </c>
      <c r="O7" s="4">
        <v>11.148999999999999</v>
      </c>
      <c r="P7" s="4">
        <v>11.148999999999999</v>
      </c>
      <c r="Q7" s="4">
        <v>11.148999999999999</v>
      </c>
      <c r="R7" s="5">
        <v>1E-4</v>
      </c>
      <c r="S7">
        <v>1</v>
      </c>
      <c r="T7" t="b">
        <v>0</v>
      </c>
      <c r="U7">
        <v>1</v>
      </c>
      <c r="V7" s="4">
        <v>2.16</v>
      </c>
    </row>
    <row r="8" spans="1:22" hidden="1" x14ac:dyDescent="0.35">
      <c r="A8" t="s">
        <v>21</v>
      </c>
      <c r="B8">
        <v>1</v>
      </c>
      <c r="C8">
        <v>1</v>
      </c>
      <c r="D8">
        <v>2</v>
      </c>
      <c r="E8" t="s">
        <v>25</v>
      </c>
      <c r="F8">
        <v>200</v>
      </c>
      <c r="G8">
        <v>1</v>
      </c>
      <c r="H8">
        <v>16</v>
      </c>
      <c r="I8" t="s">
        <v>23</v>
      </c>
      <c r="J8" s="3">
        <v>138.21877499999999</v>
      </c>
      <c r="K8" s="3">
        <v>12214.556</v>
      </c>
      <c r="L8" s="3">
        <v>14242.717000000001</v>
      </c>
      <c r="M8" s="3">
        <v>12214.556</v>
      </c>
      <c r="N8" s="3">
        <v>12214.556</v>
      </c>
      <c r="O8" s="4">
        <v>0</v>
      </c>
      <c r="P8" s="4">
        <v>16.604500000000002</v>
      </c>
      <c r="Q8" s="4">
        <v>0</v>
      </c>
      <c r="R8" s="5">
        <v>2.2000000000000001E-3</v>
      </c>
      <c r="S8">
        <v>16</v>
      </c>
      <c r="T8" t="b">
        <v>0</v>
      </c>
      <c r="U8">
        <v>10</v>
      </c>
      <c r="V8" s="4">
        <v>1.01</v>
      </c>
    </row>
    <row r="9" spans="1:22" hidden="1" x14ac:dyDescent="0.35">
      <c r="A9" t="s">
        <v>21</v>
      </c>
      <c r="B9">
        <v>1</v>
      </c>
      <c r="C9">
        <v>1</v>
      </c>
      <c r="D9">
        <v>2</v>
      </c>
      <c r="E9" t="s">
        <v>25</v>
      </c>
      <c r="F9">
        <v>200</v>
      </c>
      <c r="G9">
        <v>3</v>
      </c>
      <c r="H9">
        <v>16</v>
      </c>
      <c r="I9" t="s">
        <v>23</v>
      </c>
      <c r="J9" s="3">
        <v>134.33808099999999</v>
      </c>
      <c r="K9" s="3">
        <v>13576.358</v>
      </c>
      <c r="L9" s="3">
        <v>13576.358</v>
      </c>
      <c r="M9" s="3">
        <v>13576.358</v>
      </c>
      <c r="N9" s="3">
        <v>12214.556</v>
      </c>
      <c r="O9" s="4">
        <v>11.148999999999999</v>
      </c>
      <c r="P9" s="4">
        <v>11.148999999999999</v>
      </c>
      <c r="Q9" s="4">
        <v>11.148999999999999</v>
      </c>
      <c r="R9" s="5">
        <v>1E-4</v>
      </c>
      <c r="S9">
        <v>1</v>
      </c>
      <c r="T9" t="b">
        <v>0</v>
      </c>
      <c r="U9">
        <v>1</v>
      </c>
      <c r="V9" s="4">
        <v>2.19</v>
      </c>
    </row>
    <row r="10" spans="1:22" hidden="1" x14ac:dyDescent="0.35">
      <c r="A10" t="s">
        <v>21</v>
      </c>
      <c r="B10">
        <v>1</v>
      </c>
      <c r="C10">
        <v>1</v>
      </c>
      <c r="D10">
        <v>5</v>
      </c>
      <c r="E10" t="s">
        <v>22</v>
      </c>
      <c r="F10">
        <v>50</v>
      </c>
      <c r="G10">
        <v>1</v>
      </c>
      <c r="H10">
        <v>16</v>
      </c>
      <c r="I10" t="s">
        <v>23</v>
      </c>
      <c r="J10" s="3">
        <v>82.933556999999993</v>
      </c>
      <c r="K10" s="3">
        <v>12895.062</v>
      </c>
      <c r="L10" s="3">
        <v>15056.599</v>
      </c>
      <c r="M10" s="3">
        <v>12214.556</v>
      </c>
      <c r="N10" s="3">
        <v>12214.556</v>
      </c>
      <c r="O10" s="4">
        <v>5.5712999999999999</v>
      </c>
      <c r="P10" s="4">
        <v>23.267700000000001</v>
      </c>
      <c r="Q10" s="4">
        <v>0</v>
      </c>
      <c r="R10" s="5">
        <v>4.3999999999999997E-2</v>
      </c>
      <c r="S10">
        <v>24</v>
      </c>
      <c r="T10" t="b">
        <v>0</v>
      </c>
      <c r="U10">
        <v>17</v>
      </c>
      <c r="V10" s="4">
        <v>5.6</v>
      </c>
    </row>
    <row r="11" spans="1:22" hidden="1" x14ac:dyDescent="0.35">
      <c r="A11" t="s">
        <v>21</v>
      </c>
      <c r="B11">
        <v>1</v>
      </c>
      <c r="C11">
        <v>1</v>
      </c>
      <c r="D11">
        <v>5</v>
      </c>
      <c r="E11" t="s">
        <v>22</v>
      </c>
      <c r="F11">
        <v>50</v>
      </c>
      <c r="G11">
        <v>3</v>
      </c>
      <c r="H11">
        <v>16</v>
      </c>
      <c r="I11" t="s">
        <v>23</v>
      </c>
      <c r="J11" s="3">
        <v>77.314283000000003</v>
      </c>
      <c r="K11" s="3">
        <v>13028.438</v>
      </c>
      <c r="L11" s="3">
        <v>13694.797</v>
      </c>
      <c r="M11" s="3">
        <v>12214.556</v>
      </c>
      <c r="N11" s="3">
        <v>12214.556</v>
      </c>
      <c r="O11" s="4">
        <v>6.6631999999999998</v>
      </c>
      <c r="P11" s="4">
        <v>12.1187</v>
      </c>
      <c r="Q11" s="4">
        <v>0</v>
      </c>
      <c r="R11" s="5">
        <v>3.8800000000000001E-2</v>
      </c>
      <c r="S11">
        <v>24</v>
      </c>
      <c r="T11" t="b">
        <v>0</v>
      </c>
      <c r="U11">
        <v>12</v>
      </c>
      <c r="V11" s="4">
        <v>16.53</v>
      </c>
    </row>
    <row r="12" spans="1:22" hidden="1" x14ac:dyDescent="0.35">
      <c r="A12" t="s">
        <v>21</v>
      </c>
      <c r="B12">
        <v>1</v>
      </c>
      <c r="C12">
        <v>1</v>
      </c>
      <c r="D12">
        <v>5</v>
      </c>
      <c r="E12" t="s">
        <v>22</v>
      </c>
      <c r="F12">
        <v>200</v>
      </c>
      <c r="G12">
        <v>1</v>
      </c>
      <c r="H12">
        <v>16</v>
      </c>
      <c r="I12" t="s">
        <v>23</v>
      </c>
      <c r="J12" s="3">
        <v>82.933556999999993</v>
      </c>
      <c r="K12" s="3">
        <v>12895.062</v>
      </c>
      <c r="L12" s="3">
        <v>15056.599</v>
      </c>
      <c r="M12" s="3">
        <v>12214.556</v>
      </c>
      <c r="N12" s="3">
        <v>12214.556</v>
      </c>
      <c r="O12" s="4">
        <v>5.5712999999999999</v>
      </c>
      <c r="P12" s="4">
        <v>23.267700000000001</v>
      </c>
      <c r="Q12" s="4">
        <v>0</v>
      </c>
      <c r="R12" s="5">
        <v>4.3999999999999997E-2</v>
      </c>
      <c r="S12">
        <v>24</v>
      </c>
      <c r="T12" t="b">
        <v>0</v>
      </c>
      <c r="U12">
        <v>17</v>
      </c>
      <c r="V12" s="4">
        <v>5.71</v>
      </c>
    </row>
    <row r="13" spans="1:22" hidden="1" x14ac:dyDescent="0.35">
      <c r="A13" t="s">
        <v>21</v>
      </c>
      <c r="B13">
        <v>1</v>
      </c>
      <c r="C13">
        <v>1</v>
      </c>
      <c r="D13">
        <v>5</v>
      </c>
      <c r="E13" t="s">
        <v>22</v>
      </c>
      <c r="F13">
        <v>200</v>
      </c>
      <c r="G13">
        <v>3</v>
      </c>
      <c r="H13">
        <v>16</v>
      </c>
      <c r="I13" t="s">
        <v>23</v>
      </c>
      <c r="J13" s="3">
        <v>77.314283000000003</v>
      </c>
      <c r="K13" s="3">
        <v>13028.438</v>
      </c>
      <c r="L13" s="3">
        <v>13694.797</v>
      </c>
      <c r="M13" s="3">
        <v>12214.556</v>
      </c>
      <c r="N13" s="3">
        <v>12214.556</v>
      </c>
      <c r="O13" s="4">
        <v>6.6631999999999998</v>
      </c>
      <c r="P13" s="4">
        <v>12.1187</v>
      </c>
      <c r="Q13" s="4">
        <v>0</v>
      </c>
      <c r="R13" s="5">
        <v>3.8800000000000001E-2</v>
      </c>
      <c r="S13">
        <v>24</v>
      </c>
      <c r="T13" t="b">
        <v>0</v>
      </c>
      <c r="U13">
        <v>12</v>
      </c>
      <c r="V13" s="4">
        <v>16.62</v>
      </c>
    </row>
    <row r="14" spans="1:22" hidden="1" x14ac:dyDescent="0.35">
      <c r="A14" t="s">
        <v>21</v>
      </c>
      <c r="B14">
        <v>1</v>
      </c>
      <c r="C14">
        <v>1</v>
      </c>
      <c r="D14">
        <v>5</v>
      </c>
      <c r="E14" t="s">
        <v>25</v>
      </c>
      <c r="F14">
        <v>50</v>
      </c>
      <c r="G14">
        <v>1</v>
      </c>
      <c r="H14">
        <v>16</v>
      </c>
      <c r="I14" t="s">
        <v>23</v>
      </c>
      <c r="J14" s="3">
        <v>365.64322399999998</v>
      </c>
      <c r="K14" s="3">
        <v>12214.556</v>
      </c>
      <c r="L14" s="3">
        <v>13860.946</v>
      </c>
      <c r="M14" s="3">
        <v>12214.556</v>
      </c>
      <c r="N14" s="3">
        <v>12214.556</v>
      </c>
      <c r="O14" s="4">
        <v>0</v>
      </c>
      <c r="P14" s="4">
        <v>13.478899999999999</v>
      </c>
      <c r="Q14" s="4">
        <v>0</v>
      </c>
      <c r="R14" s="5">
        <v>1.5E-3</v>
      </c>
      <c r="S14">
        <v>12</v>
      </c>
      <c r="T14" t="b">
        <v>0</v>
      </c>
      <c r="U14">
        <v>11</v>
      </c>
      <c r="V14" s="4">
        <v>0.95</v>
      </c>
    </row>
    <row r="15" spans="1:22" hidden="1" x14ac:dyDescent="0.35">
      <c r="A15" t="s">
        <v>21</v>
      </c>
      <c r="B15">
        <v>1</v>
      </c>
      <c r="C15">
        <v>1</v>
      </c>
      <c r="D15">
        <v>5</v>
      </c>
      <c r="E15" t="s">
        <v>25</v>
      </c>
      <c r="F15">
        <v>50</v>
      </c>
      <c r="G15">
        <v>3</v>
      </c>
      <c r="H15">
        <v>16</v>
      </c>
      <c r="I15" t="s">
        <v>23</v>
      </c>
      <c r="J15" s="3">
        <v>323.74447199999997</v>
      </c>
      <c r="K15" s="3" t="s">
        <v>24</v>
      </c>
      <c r="L15" s="3" t="s">
        <v>24</v>
      </c>
      <c r="M15" s="3" t="s">
        <v>24</v>
      </c>
      <c r="N15" s="3">
        <v>12214.556</v>
      </c>
      <c r="O15" s="4"/>
      <c r="P15" s="4"/>
      <c r="Q15" s="4"/>
      <c r="R15" s="5">
        <v>0</v>
      </c>
      <c r="S15">
        <v>0</v>
      </c>
      <c r="T15" t="b">
        <v>1</v>
      </c>
      <c r="U15">
        <v>-1</v>
      </c>
      <c r="V15" s="4">
        <v>2.19</v>
      </c>
    </row>
    <row r="16" spans="1:22" hidden="1" x14ac:dyDescent="0.35">
      <c r="A16" t="s">
        <v>21</v>
      </c>
      <c r="B16">
        <v>1</v>
      </c>
      <c r="C16">
        <v>1</v>
      </c>
      <c r="D16">
        <v>5</v>
      </c>
      <c r="E16" t="s">
        <v>25</v>
      </c>
      <c r="F16">
        <v>200</v>
      </c>
      <c r="G16">
        <v>1</v>
      </c>
      <c r="H16">
        <v>16</v>
      </c>
      <c r="I16" t="s">
        <v>23</v>
      </c>
      <c r="J16" s="3">
        <v>365.64322399999998</v>
      </c>
      <c r="K16" s="3">
        <v>12214.556</v>
      </c>
      <c r="L16" s="3">
        <v>13860.946</v>
      </c>
      <c r="M16" s="3">
        <v>12214.556</v>
      </c>
      <c r="N16" s="3">
        <v>12214.556</v>
      </c>
      <c r="O16" s="4">
        <v>0</v>
      </c>
      <c r="P16" s="4">
        <v>13.478899999999999</v>
      </c>
      <c r="Q16" s="4">
        <v>0</v>
      </c>
      <c r="R16" s="5">
        <v>1.5E-3</v>
      </c>
      <c r="S16">
        <v>12</v>
      </c>
      <c r="T16" t="b">
        <v>0</v>
      </c>
      <c r="U16">
        <v>11</v>
      </c>
      <c r="V16" s="4">
        <v>0.94</v>
      </c>
    </row>
    <row r="17" spans="1:22" hidden="1" x14ac:dyDescent="0.35">
      <c r="A17" t="s">
        <v>21</v>
      </c>
      <c r="B17">
        <v>1</v>
      </c>
      <c r="C17">
        <v>1</v>
      </c>
      <c r="D17">
        <v>5</v>
      </c>
      <c r="E17" t="s">
        <v>25</v>
      </c>
      <c r="F17">
        <v>200</v>
      </c>
      <c r="G17">
        <v>3</v>
      </c>
      <c r="H17">
        <v>16</v>
      </c>
      <c r="I17" t="s">
        <v>23</v>
      </c>
      <c r="J17" s="3">
        <v>323.74447199999997</v>
      </c>
      <c r="K17" s="3" t="s">
        <v>24</v>
      </c>
      <c r="L17" s="3" t="s">
        <v>24</v>
      </c>
      <c r="M17" s="3" t="s">
        <v>24</v>
      </c>
      <c r="N17" s="3">
        <v>12214.556</v>
      </c>
      <c r="O17" s="4"/>
      <c r="P17" s="4"/>
      <c r="Q17" s="4"/>
      <c r="R17" s="5">
        <v>0</v>
      </c>
      <c r="S17">
        <v>0</v>
      </c>
      <c r="T17" t="b">
        <v>1</v>
      </c>
      <c r="U17">
        <v>-1</v>
      </c>
      <c r="V17" s="4">
        <v>2.16</v>
      </c>
    </row>
    <row r="18" spans="1:22" hidden="1" x14ac:dyDescent="0.35">
      <c r="A18" t="s">
        <v>21</v>
      </c>
      <c r="B18">
        <v>1</v>
      </c>
      <c r="C18">
        <v>1</v>
      </c>
      <c r="D18">
        <v>10</v>
      </c>
      <c r="E18" t="s">
        <v>22</v>
      </c>
      <c r="F18">
        <v>50</v>
      </c>
      <c r="G18">
        <v>1</v>
      </c>
      <c r="H18">
        <v>16</v>
      </c>
      <c r="I18" t="s">
        <v>23</v>
      </c>
      <c r="J18" s="3">
        <v>155.123085</v>
      </c>
      <c r="K18" s="3">
        <v>12895.062</v>
      </c>
      <c r="L18" s="3">
        <v>14376.093000000001</v>
      </c>
      <c r="M18" s="3">
        <v>12214.556</v>
      </c>
      <c r="N18" s="3">
        <v>12214.556</v>
      </c>
      <c r="O18" s="4">
        <v>5.5712999999999999</v>
      </c>
      <c r="P18" s="4">
        <v>17.696400000000001</v>
      </c>
      <c r="Q18" s="4">
        <v>0</v>
      </c>
      <c r="R18" s="5">
        <v>3.0300000000000001E-2</v>
      </c>
      <c r="S18">
        <v>24</v>
      </c>
      <c r="T18" t="b">
        <v>0</v>
      </c>
      <c r="U18">
        <v>17</v>
      </c>
      <c r="V18" s="4">
        <v>5.04</v>
      </c>
    </row>
    <row r="19" spans="1:22" hidden="1" x14ac:dyDescent="0.35">
      <c r="A19" t="s">
        <v>21</v>
      </c>
      <c r="B19">
        <v>1</v>
      </c>
      <c r="C19">
        <v>1</v>
      </c>
      <c r="D19">
        <v>10</v>
      </c>
      <c r="E19" t="s">
        <v>22</v>
      </c>
      <c r="F19">
        <v>50</v>
      </c>
      <c r="G19">
        <v>3</v>
      </c>
      <c r="H19">
        <v>16</v>
      </c>
      <c r="I19" t="s">
        <v>23</v>
      </c>
      <c r="J19" s="3">
        <v>155.123085</v>
      </c>
      <c r="K19" s="3">
        <v>12895.062</v>
      </c>
      <c r="L19" s="3">
        <v>14376.093000000001</v>
      </c>
      <c r="M19" s="3">
        <v>12214.556</v>
      </c>
      <c r="N19" s="3">
        <v>12214.556</v>
      </c>
      <c r="O19" s="4">
        <v>5.5712999999999999</v>
      </c>
      <c r="P19" s="4">
        <v>17.696400000000001</v>
      </c>
      <c r="Q19" s="4">
        <v>0</v>
      </c>
      <c r="R19" s="5">
        <v>3.0300000000000001E-2</v>
      </c>
      <c r="S19">
        <v>24</v>
      </c>
      <c r="T19" t="b">
        <v>0</v>
      </c>
      <c r="U19">
        <v>17</v>
      </c>
      <c r="V19" s="4">
        <v>14.82</v>
      </c>
    </row>
    <row r="20" spans="1:22" hidden="1" x14ac:dyDescent="0.35">
      <c r="A20" t="s">
        <v>21</v>
      </c>
      <c r="B20">
        <v>1</v>
      </c>
      <c r="C20">
        <v>1</v>
      </c>
      <c r="D20">
        <v>10</v>
      </c>
      <c r="E20" t="s">
        <v>22</v>
      </c>
      <c r="F20">
        <v>200</v>
      </c>
      <c r="G20">
        <v>1</v>
      </c>
      <c r="H20">
        <v>16</v>
      </c>
      <c r="I20" t="s">
        <v>23</v>
      </c>
      <c r="J20" s="3">
        <v>155.123085</v>
      </c>
      <c r="K20" s="3">
        <v>12895.062</v>
      </c>
      <c r="L20" s="3">
        <v>14376.093000000001</v>
      </c>
      <c r="M20" s="3">
        <v>12214.556</v>
      </c>
      <c r="N20" s="3">
        <v>12214.556</v>
      </c>
      <c r="O20" s="4">
        <v>5.5712999999999999</v>
      </c>
      <c r="P20" s="4">
        <v>17.696400000000001</v>
      </c>
      <c r="Q20" s="4">
        <v>0</v>
      </c>
      <c r="R20" s="5">
        <v>3.0300000000000001E-2</v>
      </c>
      <c r="S20">
        <v>24</v>
      </c>
      <c r="T20" t="b">
        <v>0</v>
      </c>
      <c r="U20">
        <v>17</v>
      </c>
      <c r="V20" s="4">
        <v>5</v>
      </c>
    </row>
    <row r="21" spans="1:22" hidden="1" x14ac:dyDescent="0.35">
      <c r="A21" t="s">
        <v>21</v>
      </c>
      <c r="B21">
        <v>1</v>
      </c>
      <c r="C21">
        <v>1</v>
      </c>
      <c r="D21">
        <v>10</v>
      </c>
      <c r="E21" t="s">
        <v>22</v>
      </c>
      <c r="F21">
        <v>200</v>
      </c>
      <c r="G21">
        <v>3</v>
      </c>
      <c r="H21">
        <v>16</v>
      </c>
      <c r="I21" t="s">
        <v>23</v>
      </c>
      <c r="J21" s="3">
        <v>155.123085</v>
      </c>
      <c r="K21" s="3">
        <v>12895.062</v>
      </c>
      <c r="L21" s="3">
        <v>14376.093000000001</v>
      </c>
      <c r="M21" s="3">
        <v>12214.556</v>
      </c>
      <c r="N21" s="3">
        <v>12214.556</v>
      </c>
      <c r="O21" s="4">
        <v>5.5712999999999999</v>
      </c>
      <c r="P21" s="4">
        <v>17.696400000000001</v>
      </c>
      <c r="Q21" s="4">
        <v>0</v>
      </c>
      <c r="R21" s="5">
        <v>3.0300000000000001E-2</v>
      </c>
      <c r="S21">
        <v>24</v>
      </c>
      <c r="T21" t="b">
        <v>0</v>
      </c>
      <c r="U21">
        <v>17</v>
      </c>
      <c r="V21" s="4">
        <v>14.77</v>
      </c>
    </row>
    <row r="22" spans="1:22" hidden="1" x14ac:dyDescent="0.35">
      <c r="A22" t="s">
        <v>21</v>
      </c>
      <c r="B22">
        <v>1</v>
      </c>
      <c r="C22">
        <v>1</v>
      </c>
      <c r="D22">
        <v>10</v>
      </c>
      <c r="E22" t="s">
        <v>25</v>
      </c>
      <c r="F22">
        <v>50</v>
      </c>
      <c r="G22">
        <v>1</v>
      </c>
      <c r="H22">
        <v>16</v>
      </c>
      <c r="I22" t="s">
        <v>23</v>
      </c>
      <c r="J22" s="3">
        <v>751.71396300000004</v>
      </c>
      <c r="K22" s="3">
        <v>12895.062</v>
      </c>
      <c r="L22" s="3">
        <v>15056.599</v>
      </c>
      <c r="M22" s="3">
        <v>12895.062</v>
      </c>
      <c r="N22" s="3">
        <v>12214.556</v>
      </c>
      <c r="O22" s="4">
        <v>5.5712999999999999</v>
      </c>
      <c r="P22" s="4">
        <v>23.267700000000001</v>
      </c>
      <c r="Q22" s="4">
        <v>5.5712999999999999</v>
      </c>
      <c r="R22" s="5">
        <v>1.8E-3</v>
      </c>
      <c r="S22">
        <v>14</v>
      </c>
      <c r="T22" t="b">
        <v>0</v>
      </c>
      <c r="U22">
        <v>4</v>
      </c>
      <c r="V22" s="4">
        <v>0.95</v>
      </c>
    </row>
    <row r="23" spans="1:22" hidden="1" x14ac:dyDescent="0.35">
      <c r="A23" t="s">
        <v>21</v>
      </c>
      <c r="B23">
        <v>1</v>
      </c>
      <c r="C23">
        <v>1</v>
      </c>
      <c r="D23">
        <v>10</v>
      </c>
      <c r="E23" t="s">
        <v>25</v>
      </c>
      <c r="F23">
        <v>50</v>
      </c>
      <c r="G23">
        <v>3</v>
      </c>
      <c r="H23">
        <v>16</v>
      </c>
      <c r="I23" t="s">
        <v>23</v>
      </c>
      <c r="J23" s="3">
        <v>636.97144000000003</v>
      </c>
      <c r="K23" s="3">
        <v>14242.717000000001</v>
      </c>
      <c r="L23" s="3">
        <v>14242.717000000001</v>
      </c>
      <c r="M23" s="3">
        <v>14242.717000000001</v>
      </c>
      <c r="N23" s="3">
        <v>12214.556</v>
      </c>
      <c r="O23" s="4">
        <v>16.604500000000002</v>
      </c>
      <c r="P23" s="4">
        <v>16.604500000000002</v>
      </c>
      <c r="Q23" s="4">
        <v>16.604500000000002</v>
      </c>
      <c r="R23" s="5">
        <v>1E-4</v>
      </c>
      <c r="S23">
        <v>1</v>
      </c>
      <c r="T23" t="b">
        <v>0</v>
      </c>
      <c r="U23">
        <v>1</v>
      </c>
      <c r="V23" s="4">
        <v>2.19</v>
      </c>
    </row>
    <row r="24" spans="1:22" hidden="1" x14ac:dyDescent="0.35">
      <c r="A24" t="s">
        <v>21</v>
      </c>
      <c r="B24">
        <v>1</v>
      </c>
      <c r="C24">
        <v>1</v>
      </c>
      <c r="D24">
        <v>10</v>
      </c>
      <c r="E24" t="s">
        <v>25</v>
      </c>
      <c r="F24">
        <v>200</v>
      </c>
      <c r="G24">
        <v>1</v>
      </c>
      <c r="H24">
        <v>16</v>
      </c>
      <c r="I24" t="s">
        <v>23</v>
      </c>
      <c r="J24" s="3">
        <v>751.71396300000004</v>
      </c>
      <c r="K24" s="3">
        <v>12895.062</v>
      </c>
      <c r="L24" s="3">
        <v>15056.599</v>
      </c>
      <c r="M24" s="3">
        <v>12895.062</v>
      </c>
      <c r="N24" s="3">
        <v>12214.556</v>
      </c>
      <c r="O24" s="4">
        <v>5.5712999999999999</v>
      </c>
      <c r="P24" s="4">
        <v>23.267700000000001</v>
      </c>
      <c r="Q24" s="4">
        <v>5.5712999999999999</v>
      </c>
      <c r="R24" s="5">
        <v>1.8E-3</v>
      </c>
      <c r="S24">
        <v>14</v>
      </c>
      <c r="T24" t="b">
        <v>0</v>
      </c>
      <c r="U24">
        <v>4</v>
      </c>
      <c r="V24" s="4">
        <v>0.94</v>
      </c>
    </row>
    <row r="25" spans="1:22" hidden="1" x14ac:dyDescent="0.35">
      <c r="A25" t="s">
        <v>21</v>
      </c>
      <c r="B25">
        <v>1</v>
      </c>
      <c r="C25">
        <v>1</v>
      </c>
      <c r="D25">
        <v>10</v>
      </c>
      <c r="E25" t="s">
        <v>25</v>
      </c>
      <c r="F25">
        <v>200</v>
      </c>
      <c r="G25">
        <v>3</v>
      </c>
      <c r="H25">
        <v>16</v>
      </c>
      <c r="I25" t="s">
        <v>23</v>
      </c>
      <c r="J25" s="3">
        <v>636.97144000000003</v>
      </c>
      <c r="K25" s="3">
        <v>14242.717000000001</v>
      </c>
      <c r="L25" s="3">
        <v>14242.717000000001</v>
      </c>
      <c r="M25" s="3">
        <v>14242.717000000001</v>
      </c>
      <c r="N25" s="3">
        <v>12214.556</v>
      </c>
      <c r="O25" s="4">
        <v>16.604500000000002</v>
      </c>
      <c r="P25" s="4">
        <v>16.604500000000002</v>
      </c>
      <c r="Q25" s="4">
        <v>16.604500000000002</v>
      </c>
      <c r="R25" s="5">
        <v>1E-4</v>
      </c>
      <c r="S25">
        <v>1</v>
      </c>
      <c r="T25" t="b">
        <v>0</v>
      </c>
      <c r="U25">
        <v>1</v>
      </c>
      <c r="V25" s="4">
        <v>2.16</v>
      </c>
    </row>
    <row r="26" spans="1:22" hidden="1" x14ac:dyDescent="0.35">
      <c r="A26" t="s">
        <v>21</v>
      </c>
      <c r="B26">
        <v>1</v>
      </c>
      <c r="C26">
        <v>2</v>
      </c>
      <c r="D26">
        <v>2</v>
      </c>
      <c r="E26" t="s">
        <v>22</v>
      </c>
      <c r="F26">
        <v>50</v>
      </c>
      <c r="G26">
        <v>1</v>
      </c>
      <c r="H26">
        <v>16</v>
      </c>
      <c r="I26" t="s">
        <v>23</v>
      </c>
      <c r="J26" s="3">
        <v>39.219842</v>
      </c>
      <c r="K26" s="3">
        <v>12214.556</v>
      </c>
      <c r="L26" s="3">
        <v>14376.093000000001</v>
      </c>
      <c r="M26" s="3">
        <v>12214.556</v>
      </c>
      <c r="N26" s="3">
        <v>12214.556</v>
      </c>
      <c r="O26" s="4">
        <v>0</v>
      </c>
      <c r="P26" s="4">
        <v>17.696400000000001</v>
      </c>
      <c r="Q26" s="4">
        <v>0</v>
      </c>
      <c r="R26" s="5">
        <v>2.5000000000000001E-3</v>
      </c>
      <c r="S26">
        <v>16</v>
      </c>
      <c r="T26" t="b">
        <v>0</v>
      </c>
      <c r="U26">
        <v>5</v>
      </c>
      <c r="V26" s="4">
        <v>6.31</v>
      </c>
    </row>
    <row r="27" spans="1:22" hidden="1" x14ac:dyDescent="0.35">
      <c r="A27" t="s">
        <v>21</v>
      </c>
      <c r="B27">
        <v>1</v>
      </c>
      <c r="C27">
        <v>2</v>
      </c>
      <c r="D27">
        <v>2</v>
      </c>
      <c r="E27" t="s">
        <v>22</v>
      </c>
      <c r="F27">
        <v>50</v>
      </c>
      <c r="G27">
        <v>3</v>
      </c>
      <c r="H27">
        <v>16</v>
      </c>
      <c r="I27" t="s">
        <v>23</v>
      </c>
      <c r="J27" s="3">
        <v>32.332906000000001</v>
      </c>
      <c r="K27" s="3">
        <v>12895.062</v>
      </c>
      <c r="L27" s="3">
        <v>12895.062</v>
      </c>
      <c r="M27" s="3">
        <v>12214.556</v>
      </c>
      <c r="N27" s="3">
        <v>12214.556</v>
      </c>
      <c r="O27" s="4">
        <v>5.5712999999999999</v>
      </c>
      <c r="P27" s="4">
        <v>5.5712999999999999</v>
      </c>
      <c r="Q27" s="4">
        <v>0</v>
      </c>
      <c r="R27" s="5">
        <v>0.15310000000000001</v>
      </c>
      <c r="S27">
        <v>24</v>
      </c>
      <c r="T27" t="b">
        <v>0</v>
      </c>
      <c r="U27">
        <v>20</v>
      </c>
      <c r="V27" s="4">
        <v>19</v>
      </c>
    </row>
    <row r="28" spans="1:22" hidden="1" x14ac:dyDescent="0.35">
      <c r="A28" t="s">
        <v>21</v>
      </c>
      <c r="B28">
        <v>1</v>
      </c>
      <c r="C28">
        <v>2</v>
      </c>
      <c r="D28">
        <v>2</v>
      </c>
      <c r="E28" t="s">
        <v>22</v>
      </c>
      <c r="F28">
        <v>200</v>
      </c>
      <c r="G28">
        <v>1</v>
      </c>
      <c r="H28">
        <v>16</v>
      </c>
      <c r="I28" t="s">
        <v>23</v>
      </c>
      <c r="J28" s="3">
        <v>39.219842</v>
      </c>
      <c r="K28" s="3">
        <v>12214.556</v>
      </c>
      <c r="L28" s="3">
        <v>14376.093000000001</v>
      </c>
      <c r="M28" s="3">
        <v>12214.556</v>
      </c>
      <c r="N28" s="3">
        <v>12214.556</v>
      </c>
      <c r="O28" s="4">
        <v>0</v>
      </c>
      <c r="P28" s="4">
        <v>17.696400000000001</v>
      </c>
      <c r="Q28" s="4">
        <v>0</v>
      </c>
      <c r="R28" s="5">
        <v>2.5000000000000001E-3</v>
      </c>
      <c r="S28">
        <v>16</v>
      </c>
      <c r="T28" t="b">
        <v>0</v>
      </c>
      <c r="U28">
        <v>5</v>
      </c>
      <c r="V28" s="4">
        <v>6.25</v>
      </c>
    </row>
    <row r="29" spans="1:22" hidden="1" x14ac:dyDescent="0.35">
      <c r="A29" t="s">
        <v>21</v>
      </c>
      <c r="B29">
        <v>1</v>
      </c>
      <c r="C29">
        <v>2</v>
      </c>
      <c r="D29">
        <v>2</v>
      </c>
      <c r="E29" t="s">
        <v>22</v>
      </c>
      <c r="F29">
        <v>200</v>
      </c>
      <c r="G29">
        <v>3</v>
      </c>
      <c r="H29">
        <v>16</v>
      </c>
      <c r="I29" t="s">
        <v>23</v>
      </c>
      <c r="J29" s="3">
        <v>32.332906000000001</v>
      </c>
      <c r="K29" s="3">
        <v>12895.062</v>
      </c>
      <c r="L29" s="3">
        <v>12895.062</v>
      </c>
      <c r="M29" s="3">
        <v>12214.556</v>
      </c>
      <c r="N29" s="3">
        <v>12214.556</v>
      </c>
      <c r="O29" s="4">
        <v>5.5712999999999999</v>
      </c>
      <c r="P29" s="4">
        <v>5.5712999999999999</v>
      </c>
      <c r="Q29" s="4">
        <v>0</v>
      </c>
      <c r="R29" s="5">
        <v>0.15310000000000001</v>
      </c>
      <c r="S29">
        <v>24</v>
      </c>
      <c r="T29" t="b">
        <v>0</v>
      </c>
      <c r="U29">
        <v>20</v>
      </c>
      <c r="V29" s="4">
        <v>19.190000000000001</v>
      </c>
    </row>
    <row r="30" spans="1:22" hidden="1" x14ac:dyDescent="0.35">
      <c r="A30" t="s">
        <v>21</v>
      </c>
      <c r="B30">
        <v>1</v>
      </c>
      <c r="C30">
        <v>2</v>
      </c>
      <c r="D30">
        <v>2</v>
      </c>
      <c r="E30" t="s">
        <v>25</v>
      </c>
      <c r="F30">
        <v>50</v>
      </c>
      <c r="G30">
        <v>1</v>
      </c>
      <c r="H30">
        <v>16</v>
      </c>
      <c r="I30" t="s">
        <v>23</v>
      </c>
      <c r="J30" s="3">
        <v>139.90148500000001</v>
      </c>
      <c r="K30" s="3">
        <v>12214.556</v>
      </c>
      <c r="L30" s="3">
        <v>13424.356</v>
      </c>
      <c r="M30" s="3">
        <v>12214.556</v>
      </c>
      <c r="N30" s="3">
        <v>12214.556</v>
      </c>
      <c r="O30" s="4">
        <v>0</v>
      </c>
      <c r="P30" s="4">
        <v>9.9046000000000003</v>
      </c>
      <c r="Q30" s="4">
        <v>0</v>
      </c>
      <c r="R30" s="5">
        <v>2.3999999999999998E-3</v>
      </c>
      <c r="S30">
        <v>17</v>
      </c>
      <c r="T30" t="b">
        <v>0</v>
      </c>
      <c r="U30">
        <v>6</v>
      </c>
      <c r="V30" s="4">
        <v>1.38</v>
      </c>
    </row>
    <row r="31" spans="1:22" hidden="1" x14ac:dyDescent="0.35">
      <c r="A31" t="s">
        <v>21</v>
      </c>
      <c r="B31">
        <v>1</v>
      </c>
      <c r="C31">
        <v>2</v>
      </c>
      <c r="D31">
        <v>2</v>
      </c>
      <c r="E31" t="s">
        <v>25</v>
      </c>
      <c r="F31">
        <v>50</v>
      </c>
      <c r="G31">
        <v>3</v>
      </c>
      <c r="H31">
        <v>16</v>
      </c>
      <c r="I31" t="s">
        <v>23</v>
      </c>
      <c r="J31" s="3">
        <v>123.87036500000001</v>
      </c>
      <c r="K31" s="3">
        <v>12214.556</v>
      </c>
      <c r="L31" s="3">
        <v>12214.556</v>
      </c>
      <c r="M31" s="3">
        <v>12214.556</v>
      </c>
      <c r="N31" s="3">
        <v>12214.556</v>
      </c>
      <c r="O31" s="4">
        <v>0</v>
      </c>
      <c r="P31" s="4">
        <v>0</v>
      </c>
      <c r="Q31" s="4">
        <v>0</v>
      </c>
      <c r="R31" s="5">
        <v>8.9999999999999998E-4</v>
      </c>
      <c r="S31">
        <v>8</v>
      </c>
      <c r="T31" t="b">
        <v>0</v>
      </c>
      <c r="U31">
        <v>1</v>
      </c>
      <c r="V31" s="4">
        <v>3.13</v>
      </c>
    </row>
    <row r="32" spans="1:22" hidden="1" x14ac:dyDescent="0.35">
      <c r="A32" t="s">
        <v>21</v>
      </c>
      <c r="B32">
        <v>1</v>
      </c>
      <c r="C32">
        <v>2</v>
      </c>
      <c r="D32">
        <v>2</v>
      </c>
      <c r="E32" t="s">
        <v>25</v>
      </c>
      <c r="F32">
        <v>200</v>
      </c>
      <c r="G32">
        <v>1</v>
      </c>
      <c r="H32">
        <v>16</v>
      </c>
      <c r="I32" t="s">
        <v>23</v>
      </c>
      <c r="J32" s="3">
        <v>139.90148500000001</v>
      </c>
      <c r="K32" s="3">
        <v>12214.556</v>
      </c>
      <c r="L32" s="3">
        <v>13424.356</v>
      </c>
      <c r="M32" s="3">
        <v>12214.556</v>
      </c>
      <c r="N32" s="3">
        <v>12214.556</v>
      </c>
      <c r="O32" s="4">
        <v>0</v>
      </c>
      <c r="P32" s="4">
        <v>9.9046000000000003</v>
      </c>
      <c r="Q32" s="4">
        <v>0</v>
      </c>
      <c r="R32" s="5">
        <v>2.3999999999999998E-3</v>
      </c>
      <c r="S32">
        <v>17</v>
      </c>
      <c r="T32" t="b">
        <v>0</v>
      </c>
      <c r="U32">
        <v>6</v>
      </c>
      <c r="V32" s="4">
        <v>1.38</v>
      </c>
    </row>
    <row r="33" spans="1:22" hidden="1" x14ac:dyDescent="0.35">
      <c r="A33" t="s">
        <v>21</v>
      </c>
      <c r="B33">
        <v>1</v>
      </c>
      <c r="C33">
        <v>2</v>
      </c>
      <c r="D33">
        <v>2</v>
      </c>
      <c r="E33" t="s">
        <v>25</v>
      </c>
      <c r="F33">
        <v>200</v>
      </c>
      <c r="G33">
        <v>3</v>
      </c>
      <c r="H33">
        <v>16</v>
      </c>
      <c r="I33" t="s">
        <v>23</v>
      </c>
      <c r="J33" s="3">
        <v>123.87036500000001</v>
      </c>
      <c r="K33" s="3">
        <v>12214.556</v>
      </c>
      <c r="L33" s="3">
        <v>12214.556</v>
      </c>
      <c r="M33" s="3">
        <v>12214.556</v>
      </c>
      <c r="N33" s="3">
        <v>12214.556</v>
      </c>
      <c r="O33" s="4">
        <v>0</v>
      </c>
      <c r="P33" s="4">
        <v>0</v>
      </c>
      <c r="Q33" s="4">
        <v>0</v>
      </c>
      <c r="R33" s="5">
        <v>8.9999999999999998E-4</v>
      </c>
      <c r="S33">
        <v>8</v>
      </c>
      <c r="T33" t="b">
        <v>0</v>
      </c>
      <c r="U33">
        <v>1</v>
      </c>
      <c r="V33" s="4">
        <v>3.17</v>
      </c>
    </row>
    <row r="34" spans="1:22" hidden="1" x14ac:dyDescent="0.35">
      <c r="A34" t="s">
        <v>21</v>
      </c>
      <c r="B34">
        <v>1</v>
      </c>
      <c r="C34">
        <v>2</v>
      </c>
      <c r="D34">
        <v>5</v>
      </c>
      <c r="E34" t="s">
        <v>22</v>
      </c>
      <c r="F34">
        <v>50</v>
      </c>
      <c r="G34">
        <v>1</v>
      </c>
      <c r="H34">
        <v>16</v>
      </c>
      <c r="I34" t="s">
        <v>23</v>
      </c>
      <c r="J34" s="3">
        <v>83.652106000000003</v>
      </c>
      <c r="K34" s="3">
        <v>12214.556</v>
      </c>
      <c r="L34" s="3">
        <v>13694.797</v>
      </c>
      <c r="M34" s="3">
        <v>12214.556</v>
      </c>
      <c r="N34" s="3">
        <v>12214.556</v>
      </c>
      <c r="O34" s="4">
        <v>0</v>
      </c>
      <c r="P34" s="4">
        <v>12.1187</v>
      </c>
      <c r="Q34" s="4">
        <v>0</v>
      </c>
      <c r="R34" s="5">
        <v>1.3599999999999999E-2</v>
      </c>
      <c r="S34">
        <v>24</v>
      </c>
      <c r="T34" t="b">
        <v>0</v>
      </c>
      <c r="U34">
        <v>3</v>
      </c>
      <c r="V34" s="4">
        <v>7.43</v>
      </c>
    </row>
    <row r="35" spans="1:22" hidden="1" x14ac:dyDescent="0.35">
      <c r="A35" t="s">
        <v>21</v>
      </c>
      <c r="B35">
        <v>1</v>
      </c>
      <c r="C35">
        <v>2</v>
      </c>
      <c r="D35">
        <v>5</v>
      </c>
      <c r="E35" t="s">
        <v>22</v>
      </c>
      <c r="F35">
        <v>50</v>
      </c>
      <c r="G35">
        <v>3</v>
      </c>
      <c r="H35">
        <v>16</v>
      </c>
      <c r="I35" t="s">
        <v>23</v>
      </c>
      <c r="J35" s="3">
        <v>80.169251000000003</v>
      </c>
      <c r="K35" s="3">
        <v>13028.438</v>
      </c>
      <c r="L35" s="3">
        <v>13846.799000000001</v>
      </c>
      <c r="M35" s="3">
        <v>12214.556</v>
      </c>
      <c r="N35" s="3">
        <v>12214.556</v>
      </c>
      <c r="O35" s="4">
        <v>6.6631999999999998</v>
      </c>
      <c r="P35" s="4">
        <v>13.363099999999999</v>
      </c>
      <c r="Q35" s="4">
        <v>0</v>
      </c>
      <c r="R35" s="5">
        <v>3.0700000000000002E-2</v>
      </c>
      <c r="S35">
        <v>24</v>
      </c>
      <c r="T35" t="b">
        <v>0</v>
      </c>
      <c r="U35">
        <v>17</v>
      </c>
      <c r="V35" s="4">
        <v>19.72</v>
      </c>
    </row>
    <row r="36" spans="1:22" hidden="1" x14ac:dyDescent="0.35">
      <c r="A36" t="s">
        <v>21</v>
      </c>
      <c r="B36">
        <v>1</v>
      </c>
      <c r="C36">
        <v>2</v>
      </c>
      <c r="D36">
        <v>5</v>
      </c>
      <c r="E36" t="s">
        <v>22</v>
      </c>
      <c r="F36">
        <v>200</v>
      </c>
      <c r="G36">
        <v>1</v>
      </c>
      <c r="H36">
        <v>16</v>
      </c>
      <c r="I36" t="s">
        <v>23</v>
      </c>
      <c r="J36" s="3">
        <v>83.652106000000003</v>
      </c>
      <c r="K36" s="3">
        <v>12214.556</v>
      </c>
      <c r="L36" s="3">
        <v>13694.797</v>
      </c>
      <c r="M36" s="3">
        <v>12214.556</v>
      </c>
      <c r="N36" s="3">
        <v>12214.556</v>
      </c>
      <c r="O36" s="4">
        <v>0</v>
      </c>
      <c r="P36" s="4">
        <v>12.1187</v>
      </c>
      <c r="Q36" s="4">
        <v>0</v>
      </c>
      <c r="R36" s="5">
        <v>1.3599999999999999E-2</v>
      </c>
      <c r="S36">
        <v>24</v>
      </c>
      <c r="T36" t="b">
        <v>0</v>
      </c>
      <c r="U36">
        <v>3</v>
      </c>
      <c r="V36" s="4">
        <v>7.45</v>
      </c>
    </row>
    <row r="37" spans="1:22" hidden="1" x14ac:dyDescent="0.35">
      <c r="A37" t="s">
        <v>21</v>
      </c>
      <c r="B37">
        <v>1</v>
      </c>
      <c r="C37">
        <v>2</v>
      </c>
      <c r="D37">
        <v>5</v>
      </c>
      <c r="E37" t="s">
        <v>22</v>
      </c>
      <c r="F37">
        <v>200</v>
      </c>
      <c r="G37">
        <v>3</v>
      </c>
      <c r="H37">
        <v>16</v>
      </c>
      <c r="I37" t="s">
        <v>23</v>
      </c>
      <c r="J37" s="3">
        <v>80.169251000000003</v>
      </c>
      <c r="K37" s="3">
        <v>13028.438</v>
      </c>
      <c r="L37" s="3">
        <v>13846.799000000001</v>
      </c>
      <c r="M37" s="3">
        <v>12214.556</v>
      </c>
      <c r="N37" s="3">
        <v>12214.556</v>
      </c>
      <c r="O37" s="4">
        <v>6.6631999999999998</v>
      </c>
      <c r="P37" s="4">
        <v>13.363099999999999</v>
      </c>
      <c r="Q37" s="4">
        <v>0</v>
      </c>
      <c r="R37" s="5">
        <v>3.0700000000000002E-2</v>
      </c>
      <c r="S37">
        <v>24</v>
      </c>
      <c r="T37" t="b">
        <v>0</v>
      </c>
      <c r="U37">
        <v>17</v>
      </c>
      <c r="V37" s="4">
        <v>19.88</v>
      </c>
    </row>
    <row r="38" spans="1:22" hidden="1" x14ac:dyDescent="0.35">
      <c r="A38" t="s">
        <v>21</v>
      </c>
      <c r="B38">
        <v>1</v>
      </c>
      <c r="C38">
        <v>2</v>
      </c>
      <c r="D38">
        <v>5</v>
      </c>
      <c r="E38" t="s">
        <v>25</v>
      </c>
      <c r="F38">
        <v>50</v>
      </c>
      <c r="G38">
        <v>1</v>
      </c>
      <c r="H38">
        <v>16</v>
      </c>
      <c r="I38" t="s">
        <v>23</v>
      </c>
      <c r="J38" s="3">
        <v>347.92999400000002</v>
      </c>
      <c r="K38" s="3">
        <v>12214.556</v>
      </c>
      <c r="L38" s="3">
        <v>14376.093000000001</v>
      </c>
      <c r="M38" s="3">
        <v>12214.556</v>
      </c>
      <c r="N38" s="3">
        <v>12214.556</v>
      </c>
      <c r="O38" s="4">
        <v>0</v>
      </c>
      <c r="P38" s="4">
        <v>17.696400000000001</v>
      </c>
      <c r="Q38" s="4">
        <v>0</v>
      </c>
      <c r="R38" s="5">
        <v>2.3999999999999998E-3</v>
      </c>
      <c r="S38">
        <v>16</v>
      </c>
      <c r="T38" t="b">
        <v>0</v>
      </c>
      <c r="U38">
        <v>3</v>
      </c>
      <c r="V38" s="4">
        <v>1.36</v>
      </c>
    </row>
    <row r="39" spans="1:22" hidden="1" x14ac:dyDescent="0.35">
      <c r="A39" t="s">
        <v>21</v>
      </c>
      <c r="B39">
        <v>1</v>
      </c>
      <c r="C39">
        <v>2</v>
      </c>
      <c r="D39">
        <v>5</v>
      </c>
      <c r="E39" t="s">
        <v>25</v>
      </c>
      <c r="F39">
        <v>50</v>
      </c>
      <c r="G39">
        <v>3</v>
      </c>
      <c r="H39">
        <v>16</v>
      </c>
      <c r="I39" t="s">
        <v>23</v>
      </c>
      <c r="J39" s="3">
        <v>271.00136400000002</v>
      </c>
      <c r="K39" s="3">
        <v>12214.556</v>
      </c>
      <c r="L39" s="3">
        <v>13860.946</v>
      </c>
      <c r="M39" s="3">
        <v>12214.556</v>
      </c>
      <c r="N39" s="3">
        <v>12214.556</v>
      </c>
      <c r="O39" s="4">
        <v>0</v>
      </c>
      <c r="P39" s="4">
        <v>13.478899999999999</v>
      </c>
      <c r="Q39" s="4">
        <v>0</v>
      </c>
      <c r="R39" s="5">
        <v>1.9E-3</v>
      </c>
      <c r="S39">
        <v>12</v>
      </c>
      <c r="T39" t="b">
        <v>0</v>
      </c>
      <c r="U39">
        <v>11</v>
      </c>
      <c r="V39" s="4">
        <v>3.09</v>
      </c>
    </row>
    <row r="40" spans="1:22" hidden="1" x14ac:dyDescent="0.35">
      <c r="A40" t="s">
        <v>21</v>
      </c>
      <c r="B40">
        <v>1</v>
      </c>
      <c r="C40">
        <v>2</v>
      </c>
      <c r="D40">
        <v>5</v>
      </c>
      <c r="E40" t="s">
        <v>25</v>
      </c>
      <c r="F40">
        <v>200</v>
      </c>
      <c r="G40">
        <v>1</v>
      </c>
      <c r="H40">
        <v>16</v>
      </c>
      <c r="I40" t="s">
        <v>23</v>
      </c>
      <c r="J40" s="3">
        <v>347.92999400000002</v>
      </c>
      <c r="K40" s="3">
        <v>12214.556</v>
      </c>
      <c r="L40" s="3">
        <v>14376.093000000001</v>
      </c>
      <c r="M40" s="3">
        <v>12214.556</v>
      </c>
      <c r="N40" s="3">
        <v>12214.556</v>
      </c>
      <c r="O40" s="4">
        <v>0</v>
      </c>
      <c r="P40" s="4">
        <v>17.696400000000001</v>
      </c>
      <c r="Q40" s="4">
        <v>0</v>
      </c>
      <c r="R40" s="5">
        <v>2.3999999999999998E-3</v>
      </c>
      <c r="S40">
        <v>16</v>
      </c>
      <c r="T40" t="b">
        <v>0</v>
      </c>
      <c r="U40">
        <v>3</v>
      </c>
      <c r="V40" s="4">
        <v>1.36</v>
      </c>
    </row>
    <row r="41" spans="1:22" hidden="1" x14ac:dyDescent="0.35">
      <c r="A41" t="s">
        <v>21</v>
      </c>
      <c r="B41">
        <v>1</v>
      </c>
      <c r="C41">
        <v>2</v>
      </c>
      <c r="D41">
        <v>5</v>
      </c>
      <c r="E41" t="s">
        <v>25</v>
      </c>
      <c r="F41">
        <v>200</v>
      </c>
      <c r="G41">
        <v>3</v>
      </c>
      <c r="H41">
        <v>16</v>
      </c>
      <c r="I41" t="s">
        <v>23</v>
      </c>
      <c r="J41" s="3">
        <v>271.00136400000002</v>
      </c>
      <c r="K41" s="3">
        <v>12214.556</v>
      </c>
      <c r="L41" s="3">
        <v>13860.946</v>
      </c>
      <c r="M41" s="3">
        <v>12214.556</v>
      </c>
      <c r="N41" s="3">
        <v>12214.556</v>
      </c>
      <c r="O41" s="4">
        <v>0</v>
      </c>
      <c r="P41" s="4">
        <v>13.478899999999999</v>
      </c>
      <c r="Q41" s="4">
        <v>0</v>
      </c>
      <c r="R41" s="5">
        <v>1.9E-3</v>
      </c>
      <c r="S41">
        <v>12</v>
      </c>
      <c r="T41" t="b">
        <v>0</v>
      </c>
      <c r="U41">
        <v>11</v>
      </c>
      <c r="V41" s="4">
        <v>3.1</v>
      </c>
    </row>
    <row r="42" spans="1:22" hidden="1" x14ac:dyDescent="0.35">
      <c r="A42" t="s">
        <v>21</v>
      </c>
      <c r="B42">
        <v>1</v>
      </c>
      <c r="C42">
        <v>2</v>
      </c>
      <c r="D42">
        <v>10</v>
      </c>
      <c r="E42" t="s">
        <v>22</v>
      </c>
      <c r="F42">
        <v>50</v>
      </c>
      <c r="G42">
        <v>1</v>
      </c>
      <c r="H42">
        <v>16</v>
      </c>
      <c r="I42" t="s">
        <v>23</v>
      </c>
      <c r="J42" s="3">
        <v>182.353094</v>
      </c>
      <c r="K42" s="3">
        <v>12214.556</v>
      </c>
      <c r="L42" s="3">
        <v>12895.062</v>
      </c>
      <c r="M42" s="3">
        <v>12214.556</v>
      </c>
      <c r="N42" s="3">
        <v>12214.556</v>
      </c>
      <c r="O42" s="4">
        <v>0</v>
      </c>
      <c r="P42" s="4">
        <v>5.5712999999999999</v>
      </c>
      <c r="Q42" s="4">
        <v>0</v>
      </c>
      <c r="R42" s="5">
        <v>2.3599999999999999E-2</v>
      </c>
      <c r="S42">
        <v>24</v>
      </c>
      <c r="T42" t="b">
        <v>0</v>
      </c>
      <c r="U42">
        <v>20</v>
      </c>
      <c r="V42" s="4">
        <v>6.79</v>
      </c>
    </row>
    <row r="43" spans="1:22" hidden="1" x14ac:dyDescent="0.35">
      <c r="A43" t="s">
        <v>21</v>
      </c>
      <c r="B43">
        <v>1</v>
      </c>
      <c r="C43">
        <v>2</v>
      </c>
      <c r="D43">
        <v>10</v>
      </c>
      <c r="E43" t="s">
        <v>22</v>
      </c>
      <c r="F43">
        <v>50</v>
      </c>
      <c r="G43">
        <v>3</v>
      </c>
      <c r="H43">
        <v>16</v>
      </c>
      <c r="I43" t="s">
        <v>23</v>
      </c>
      <c r="J43" s="3">
        <v>152.54820599999999</v>
      </c>
      <c r="K43" s="3">
        <v>12214.556</v>
      </c>
      <c r="L43" s="3">
        <v>13576.358</v>
      </c>
      <c r="M43" s="3">
        <v>12214.556</v>
      </c>
      <c r="N43" s="3">
        <v>12214.556</v>
      </c>
      <c r="O43" s="4">
        <v>0</v>
      </c>
      <c r="P43" s="4">
        <v>11.148999999999999</v>
      </c>
      <c r="Q43" s="4">
        <v>0</v>
      </c>
      <c r="R43" s="5">
        <v>2.5600000000000001E-2</v>
      </c>
      <c r="S43">
        <v>24</v>
      </c>
      <c r="T43" t="b">
        <v>0</v>
      </c>
      <c r="U43">
        <v>14</v>
      </c>
      <c r="V43" s="4">
        <v>20.13</v>
      </c>
    </row>
    <row r="44" spans="1:22" hidden="1" x14ac:dyDescent="0.35">
      <c r="A44" t="s">
        <v>21</v>
      </c>
      <c r="B44">
        <v>1</v>
      </c>
      <c r="C44">
        <v>2</v>
      </c>
      <c r="D44">
        <v>10</v>
      </c>
      <c r="E44" t="s">
        <v>22</v>
      </c>
      <c r="F44">
        <v>200</v>
      </c>
      <c r="G44">
        <v>1</v>
      </c>
      <c r="H44">
        <v>16</v>
      </c>
      <c r="I44" t="s">
        <v>23</v>
      </c>
      <c r="J44" s="3">
        <v>182.353094</v>
      </c>
      <c r="K44" s="3">
        <v>12214.556</v>
      </c>
      <c r="L44" s="3">
        <v>12895.062</v>
      </c>
      <c r="M44" s="3">
        <v>12214.556</v>
      </c>
      <c r="N44" s="3">
        <v>12214.556</v>
      </c>
      <c r="O44" s="4">
        <v>0</v>
      </c>
      <c r="P44" s="4">
        <v>5.5712999999999999</v>
      </c>
      <c r="Q44" s="4">
        <v>0</v>
      </c>
      <c r="R44" s="5">
        <v>2.3599999999999999E-2</v>
      </c>
      <c r="S44">
        <v>24</v>
      </c>
      <c r="T44" t="b">
        <v>0</v>
      </c>
      <c r="U44">
        <v>20</v>
      </c>
      <c r="V44" s="4">
        <v>6.74</v>
      </c>
    </row>
    <row r="45" spans="1:22" hidden="1" x14ac:dyDescent="0.35">
      <c r="A45" t="s">
        <v>21</v>
      </c>
      <c r="B45">
        <v>1</v>
      </c>
      <c r="C45">
        <v>2</v>
      </c>
      <c r="D45">
        <v>10</v>
      </c>
      <c r="E45" t="s">
        <v>22</v>
      </c>
      <c r="F45">
        <v>200</v>
      </c>
      <c r="G45">
        <v>3</v>
      </c>
      <c r="H45">
        <v>16</v>
      </c>
      <c r="I45" t="s">
        <v>23</v>
      </c>
      <c r="J45" s="3">
        <v>152.54820599999999</v>
      </c>
      <c r="K45" s="3">
        <v>12214.556</v>
      </c>
      <c r="L45" s="3">
        <v>13576.358</v>
      </c>
      <c r="M45" s="3">
        <v>12214.556</v>
      </c>
      <c r="N45" s="3">
        <v>12214.556</v>
      </c>
      <c r="O45" s="4">
        <v>0</v>
      </c>
      <c r="P45" s="4">
        <v>11.148999999999999</v>
      </c>
      <c r="Q45" s="4">
        <v>0</v>
      </c>
      <c r="R45" s="5">
        <v>2.5600000000000001E-2</v>
      </c>
      <c r="S45">
        <v>24</v>
      </c>
      <c r="T45" t="b">
        <v>0</v>
      </c>
      <c r="U45">
        <v>14</v>
      </c>
      <c r="V45" s="4">
        <v>20.52</v>
      </c>
    </row>
    <row r="46" spans="1:22" hidden="1" x14ac:dyDescent="0.35">
      <c r="A46" t="s">
        <v>21</v>
      </c>
      <c r="B46">
        <v>1</v>
      </c>
      <c r="C46">
        <v>2</v>
      </c>
      <c r="D46">
        <v>10</v>
      </c>
      <c r="E46" t="s">
        <v>25</v>
      </c>
      <c r="F46">
        <v>50</v>
      </c>
      <c r="G46">
        <v>1</v>
      </c>
      <c r="H46">
        <v>16</v>
      </c>
      <c r="I46" t="s">
        <v>23</v>
      </c>
      <c r="J46" s="3">
        <v>686.59657500000003</v>
      </c>
      <c r="K46" s="3">
        <v>12214.556</v>
      </c>
      <c r="L46" s="3">
        <v>13410.209000000001</v>
      </c>
      <c r="M46" s="3">
        <v>12214.556</v>
      </c>
      <c r="N46" s="3">
        <v>12214.556</v>
      </c>
      <c r="O46" s="4">
        <v>0</v>
      </c>
      <c r="P46" s="4">
        <v>9.7888000000000002</v>
      </c>
      <c r="Q46" s="4">
        <v>0</v>
      </c>
      <c r="R46" s="5">
        <v>2.3E-3</v>
      </c>
      <c r="S46">
        <v>15</v>
      </c>
      <c r="T46" t="b">
        <v>0</v>
      </c>
      <c r="U46">
        <v>8</v>
      </c>
      <c r="V46" s="4">
        <v>1.36</v>
      </c>
    </row>
    <row r="47" spans="1:22" hidden="1" x14ac:dyDescent="0.35">
      <c r="A47" t="s">
        <v>21</v>
      </c>
      <c r="B47">
        <v>1</v>
      </c>
      <c r="C47">
        <v>2</v>
      </c>
      <c r="D47">
        <v>10</v>
      </c>
      <c r="E47" t="s">
        <v>25</v>
      </c>
      <c r="F47">
        <v>50</v>
      </c>
      <c r="G47">
        <v>3</v>
      </c>
      <c r="H47">
        <v>16</v>
      </c>
      <c r="I47" t="s">
        <v>23</v>
      </c>
      <c r="J47" s="3">
        <v>530.965329</v>
      </c>
      <c r="K47" s="3">
        <v>12214.556</v>
      </c>
      <c r="L47" s="3">
        <v>15056.599</v>
      </c>
      <c r="M47" s="3">
        <v>12214.556</v>
      </c>
      <c r="N47" s="3">
        <v>12214.556</v>
      </c>
      <c r="O47" s="4">
        <v>0</v>
      </c>
      <c r="P47" s="4">
        <v>23.267700000000001</v>
      </c>
      <c r="Q47" s="4">
        <v>0</v>
      </c>
      <c r="R47" s="5">
        <v>2E-3</v>
      </c>
      <c r="S47">
        <v>15</v>
      </c>
      <c r="T47" t="b">
        <v>0</v>
      </c>
      <c r="U47">
        <v>3</v>
      </c>
      <c r="V47" s="4">
        <v>3.34</v>
      </c>
    </row>
    <row r="48" spans="1:22" hidden="1" x14ac:dyDescent="0.35">
      <c r="A48" t="s">
        <v>21</v>
      </c>
      <c r="B48">
        <v>1</v>
      </c>
      <c r="C48">
        <v>2</v>
      </c>
      <c r="D48">
        <v>10</v>
      </c>
      <c r="E48" t="s">
        <v>25</v>
      </c>
      <c r="F48">
        <v>200</v>
      </c>
      <c r="G48">
        <v>1</v>
      </c>
      <c r="H48">
        <v>16</v>
      </c>
      <c r="I48" t="s">
        <v>23</v>
      </c>
      <c r="J48" s="3">
        <v>686.59657500000003</v>
      </c>
      <c r="K48" s="3">
        <v>12214.556</v>
      </c>
      <c r="L48" s="3">
        <v>13410.209000000001</v>
      </c>
      <c r="M48" s="3">
        <v>12214.556</v>
      </c>
      <c r="N48" s="3">
        <v>12214.556</v>
      </c>
      <c r="O48" s="4">
        <v>0</v>
      </c>
      <c r="P48" s="4">
        <v>9.7888000000000002</v>
      </c>
      <c r="Q48" s="4">
        <v>0</v>
      </c>
      <c r="R48" s="5">
        <v>2.3E-3</v>
      </c>
      <c r="S48">
        <v>15</v>
      </c>
      <c r="T48" t="b">
        <v>0</v>
      </c>
      <c r="U48">
        <v>8</v>
      </c>
      <c r="V48" s="4">
        <v>1.42</v>
      </c>
    </row>
    <row r="49" spans="1:22" hidden="1" x14ac:dyDescent="0.35">
      <c r="A49" t="s">
        <v>21</v>
      </c>
      <c r="B49">
        <v>1</v>
      </c>
      <c r="C49">
        <v>2</v>
      </c>
      <c r="D49">
        <v>10</v>
      </c>
      <c r="E49" t="s">
        <v>25</v>
      </c>
      <c r="F49">
        <v>200</v>
      </c>
      <c r="G49">
        <v>3</v>
      </c>
      <c r="H49">
        <v>16</v>
      </c>
      <c r="I49" t="s">
        <v>23</v>
      </c>
      <c r="J49" s="3">
        <v>530.965329</v>
      </c>
      <c r="K49" s="3">
        <v>12214.556</v>
      </c>
      <c r="L49" s="3">
        <v>15056.599</v>
      </c>
      <c r="M49" s="3">
        <v>12214.556</v>
      </c>
      <c r="N49" s="3">
        <v>12214.556</v>
      </c>
      <c r="O49" s="4">
        <v>0</v>
      </c>
      <c r="P49" s="4">
        <v>23.267700000000001</v>
      </c>
      <c r="Q49" s="4">
        <v>0</v>
      </c>
      <c r="R49" s="5">
        <v>2E-3</v>
      </c>
      <c r="S49">
        <v>15</v>
      </c>
      <c r="T49" t="b">
        <v>0</v>
      </c>
      <c r="U49">
        <v>3</v>
      </c>
      <c r="V49" s="4">
        <v>3.43</v>
      </c>
    </row>
    <row r="50" spans="1:22" hidden="1" x14ac:dyDescent="0.35">
      <c r="A50" t="s">
        <v>21</v>
      </c>
      <c r="B50">
        <v>1</v>
      </c>
      <c r="C50">
        <v>3</v>
      </c>
      <c r="D50">
        <v>2</v>
      </c>
      <c r="E50" t="s">
        <v>22</v>
      </c>
      <c r="F50">
        <v>50</v>
      </c>
      <c r="G50">
        <v>1</v>
      </c>
      <c r="H50">
        <v>16</v>
      </c>
      <c r="I50" t="s">
        <v>23</v>
      </c>
      <c r="J50" s="3">
        <v>31.875525</v>
      </c>
      <c r="K50" s="3">
        <v>12214.556</v>
      </c>
      <c r="L50" s="3">
        <v>12895.062</v>
      </c>
      <c r="M50" s="3">
        <v>12214.556</v>
      </c>
      <c r="N50" s="3">
        <v>12214.556</v>
      </c>
      <c r="O50" s="4">
        <v>0</v>
      </c>
      <c r="P50" s="4">
        <v>5.5712999999999999</v>
      </c>
      <c r="Q50" s="4">
        <v>0</v>
      </c>
      <c r="R50" s="5">
        <v>2.7099999999999999E-2</v>
      </c>
      <c r="S50">
        <v>24</v>
      </c>
      <c r="T50" t="b">
        <v>0</v>
      </c>
      <c r="U50">
        <v>13</v>
      </c>
      <c r="V50" s="4">
        <v>8.57</v>
      </c>
    </row>
    <row r="51" spans="1:22" hidden="1" x14ac:dyDescent="0.35">
      <c r="A51" t="s">
        <v>21</v>
      </c>
      <c r="B51">
        <v>1</v>
      </c>
      <c r="C51">
        <v>3</v>
      </c>
      <c r="D51">
        <v>2</v>
      </c>
      <c r="E51" t="s">
        <v>22</v>
      </c>
      <c r="F51">
        <v>50</v>
      </c>
      <c r="G51">
        <v>3</v>
      </c>
      <c r="H51">
        <v>16</v>
      </c>
      <c r="I51" t="s">
        <v>23</v>
      </c>
      <c r="J51" s="3">
        <v>31.875525</v>
      </c>
      <c r="K51" s="3">
        <v>12214.556</v>
      </c>
      <c r="L51" s="3">
        <v>12895.062</v>
      </c>
      <c r="M51" s="3">
        <v>12214.556</v>
      </c>
      <c r="N51" s="3">
        <v>12214.556</v>
      </c>
      <c r="O51" s="4">
        <v>0</v>
      </c>
      <c r="P51" s="4">
        <v>5.5712999999999999</v>
      </c>
      <c r="Q51" s="4">
        <v>0</v>
      </c>
      <c r="R51" s="5">
        <v>2.7099999999999999E-2</v>
      </c>
      <c r="S51">
        <v>24</v>
      </c>
      <c r="T51" t="b">
        <v>0</v>
      </c>
      <c r="U51">
        <v>13</v>
      </c>
      <c r="V51" s="4">
        <v>23.52</v>
      </c>
    </row>
    <row r="52" spans="1:22" hidden="1" x14ac:dyDescent="0.35">
      <c r="A52" t="s">
        <v>21</v>
      </c>
      <c r="B52">
        <v>1</v>
      </c>
      <c r="C52">
        <v>3</v>
      </c>
      <c r="D52">
        <v>2</v>
      </c>
      <c r="E52" t="s">
        <v>22</v>
      </c>
      <c r="F52">
        <v>200</v>
      </c>
      <c r="G52">
        <v>1</v>
      </c>
      <c r="H52">
        <v>16</v>
      </c>
      <c r="I52" t="s">
        <v>23</v>
      </c>
      <c r="J52" s="3">
        <v>31.635338999999998</v>
      </c>
      <c r="K52" s="3">
        <v>12214.556</v>
      </c>
      <c r="L52" s="3">
        <v>12895.062</v>
      </c>
      <c r="M52" s="3">
        <v>12214.556</v>
      </c>
      <c r="N52" s="3">
        <v>12214.556</v>
      </c>
      <c r="O52" s="4">
        <v>0</v>
      </c>
      <c r="P52" s="4">
        <v>5.5712999999999999</v>
      </c>
      <c r="Q52" s="4">
        <v>0</v>
      </c>
      <c r="R52" s="5">
        <v>2.6700000000000002E-2</v>
      </c>
      <c r="S52">
        <v>24</v>
      </c>
      <c r="T52" t="b">
        <v>0</v>
      </c>
      <c r="U52">
        <v>13</v>
      </c>
      <c r="V52" s="4">
        <v>11.44</v>
      </c>
    </row>
    <row r="53" spans="1:22" hidden="1" x14ac:dyDescent="0.35">
      <c r="A53" t="s">
        <v>21</v>
      </c>
      <c r="B53">
        <v>1</v>
      </c>
      <c r="C53">
        <v>3</v>
      </c>
      <c r="D53">
        <v>2</v>
      </c>
      <c r="E53" t="s">
        <v>22</v>
      </c>
      <c r="F53">
        <v>200</v>
      </c>
      <c r="G53">
        <v>3</v>
      </c>
      <c r="H53">
        <v>16</v>
      </c>
      <c r="I53" t="s">
        <v>23</v>
      </c>
      <c r="J53" s="3">
        <v>31.635338999999998</v>
      </c>
      <c r="K53" s="3">
        <v>12214.556</v>
      </c>
      <c r="L53" s="3">
        <v>12895.062</v>
      </c>
      <c r="M53" s="3">
        <v>12214.556</v>
      </c>
      <c r="N53" s="3">
        <v>12214.556</v>
      </c>
      <c r="O53" s="4">
        <v>0</v>
      </c>
      <c r="P53" s="4">
        <v>5.5712999999999999</v>
      </c>
      <c r="Q53" s="4">
        <v>0</v>
      </c>
      <c r="R53" s="5">
        <v>2.6700000000000002E-2</v>
      </c>
      <c r="S53">
        <v>24</v>
      </c>
      <c r="T53" t="b">
        <v>0</v>
      </c>
      <c r="U53">
        <v>13</v>
      </c>
      <c r="V53" s="4">
        <v>33.68</v>
      </c>
    </row>
    <row r="54" spans="1:22" hidden="1" x14ac:dyDescent="0.35">
      <c r="A54" t="s">
        <v>21</v>
      </c>
      <c r="B54">
        <v>1</v>
      </c>
      <c r="C54">
        <v>3</v>
      </c>
      <c r="D54">
        <v>2</v>
      </c>
      <c r="E54" t="s">
        <v>25</v>
      </c>
      <c r="F54">
        <v>50</v>
      </c>
      <c r="G54">
        <v>1</v>
      </c>
      <c r="H54">
        <v>16</v>
      </c>
      <c r="I54" t="s">
        <v>23</v>
      </c>
      <c r="J54" s="3">
        <v>139.093943</v>
      </c>
      <c r="K54" s="3" t="s">
        <v>24</v>
      </c>
      <c r="L54" s="3" t="s">
        <v>24</v>
      </c>
      <c r="M54" s="3" t="s">
        <v>24</v>
      </c>
      <c r="N54" s="3">
        <v>12214.556</v>
      </c>
      <c r="O54" s="4"/>
      <c r="P54" s="4"/>
      <c r="Q54" s="4"/>
      <c r="R54" s="5">
        <v>0</v>
      </c>
      <c r="S54">
        <v>0</v>
      </c>
      <c r="T54" t="b">
        <v>1</v>
      </c>
      <c r="U54">
        <v>-1</v>
      </c>
      <c r="V54" s="4">
        <v>1.88</v>
      </c>
    </row>
    <row r="55" spans="1:22" hidden="1" x14ac:dyDescent="0.35">
      <c r="A55" t="s">
        <v>21</v>
      </c>
      <c r="B55">
        <v>1</v>
      </c>
      <c r="C55">
        <v>3</v>
      </c>
      <c r="D55">
        <v>2</v>
      </c>
      <c r="E55" t="s">
        <v>25</v>
      </c>
      <c r="F55">
        <v>50</v>
      </c>
      <c r="G55">
        <v>3</v>
      </c>
      <c r="H55">
        <v>16</v>
      </c>
      <c r="I55" t="s">
        <v>23</v>
      </c>
      <c r="J55" s="3">
        <v>128.35092900000001</v>
      </c>
      <c r="K55" s="3">
        <v>12214.556</v>
      </c>
      <c r="L55" s="3">
        <v>13576.358</v>
      </c>
      <c r="M55" s="3">
        <v>12214.556</v>
      </c>
      <c r="N55" s="3">
        <v>12214.556</v>
      </c>
      <c r="O55" s="4">
        <v>0</v>
      </c>
      <c r="P55" s="4">
        <v>11.148999999999999</v>
      </c>
      <c r="Q55" s="4">
        <v>0</v>
      </c>
      <c r="R55" s="5">
        <v>1.6999999999999999E-3</v>
      </c>
      <c r="S55">
        <v>10</v>
      </c>
      <c r="T55" t="b">
        <v>0</v>
      </c>
      <c r="U55">
        <v>10</v>
      </c>
      <c r="V55" s="4">
        <v>4.8099999999999996</v>
      </c>
    </row>
    <row r="56" spans="1:22" hidden="1" x14ac:dyDescent="0.35">
      <c r="A56" t="s">
        <v>21</v>
      </c>
      <c r="B56">
        <v>1</v>
      </c>
      <c r="C56">
        <v>3</v>
      </c>
      <c r="D56">
        <v>2</v>
      </c>
      <c r="E56" t="s">
        <v>25</v>
      </c>
      <c r="F56">
        <v>200</v>
      </c>
      <c r="G56">
        <v>1</v>
      </c>
      <c r="H56">
        <v>16</v>
      </c>
      <c r="I56" t="s">
        <v>23</v>
      </c>
      <c r="J56" s="3">
        <v>139.093943</v>
      </c>
      <c r="K56" s="3" t="s">
        <v>24</v>
      </c>
      <c r="L56" s="3" t="s">
        <v>24</v>
      </c>
      <c r="M56" s="3" t="s">
        <v>24</v>
      </c>
      <c r="N56" s="3">
        <v>12214.556</v>
      </c>
      <c r="O56" s="4"/>
      <c r="P56" s="4"/>
      <c r="Q56" s="4"/>
      <c r="R56" s="5">
        <v>0</v>
      </c>
      <c r="S56">
        <v>0</v>
      </c>
      <c r="T56" t="b">
        <v>1</v>
      </c>
      <c r="U56">
        <v>-1</v>
      </c>
      <c r="V56" s="4">
        <v>1.88</v>
      </c>
    </row>
    <row r="57" spans="1:22" hidden="1" x14ac:dyDescent="0.35">
      <c r="A57" t="s">
        <v>21</v>
      </c>
      <c r="B57">
        <v>1</v>
      </c>
      <c r="C57">
        <v>3</v>
      </c>
      <c r="D57">
        <v>2</v>
      </c>
      <c r="E57" t="s">
        <v>25</v>
      </c>
      <c r="F57">
        <v>200</v>
      </c>
      <c r="G57">
        <v>3</v>
      </c>
      <c r="H57">
        <v>16</v>
      </c>
      <c r="I57" t="s">
        <v>23</v>
      </c>
      <c r="J57" s="3">
        <v>128.35092900000001</v>
      </c>
      <c r="K57" s="3">
        <v>12214.556</v>
      </c>
      <c r="L57" s="3">
        <v>13576.358</v>
      </c>
      <c r="M57" s="3">
        <v>12214.556</v>
      </c>
      <c r="N57" s="3">
        <v>12214.556</v>
      </c>
      <c r="O57" s="4">
        <v>0</v>
      </c>
      <c r="P57" s="4">
        <v>11.148999999999999</v>
      </c>
      <c r="Q57" s="4">
        <v>0</v>
      </c>
      <c r="R57" s="5">
        <v>1.6999999999999999E-3</v>
      </c>
      <c r="S57">
        <v>10</v>
      </c>
      <c r="T57" t="b">
        <v>0</v>
      </c>
      <c r="U57">
        <v>10</v>
      </c>
      <c r="V57" s="4">
        <v>4.8899999999999997</v>
      </c>
    </row>
    <row r="58" spans="1:22" hidden="1" x14ac:dyDescent="0.35">
      <c r="A58" t="s">
        <v>21</v>
      </c>
      <c r="B58">
        <v>1</v>
      </c>
      <c r="C58">
        <v>3</v>
      </c>
      <c r="D58">
        <v>5</v>
      </c>
      <c r="E58" t="s">
        <v>22</v>
      </c>
      <c r="F58">
        <v>50</v>
      </c>
      <c r="G58">
        <v>1</v>
      </c>
      <c r="H58">
        <v>16</v>
      </c>
      <c r="I58" t="s">
        <v>23</v>
      </c>
      <c r="J58" s="3">
        <v>63.929940000000002</v>
      </c>
      <c r="K58" s="3">
        <v>12214.556</v>
      </c>
      <c r="L58" s="3">
        <v>13860.946</v>
      </c>
      <c r="M58" s="3">
        <v>12214.556</v>
      </c>
      <c r="N58" s="3">
        <v>12214.556</v>
      </c>
      <c r="O58" s="4">
        <v>0</v>
      </c>
      <c r="P58" s="4">
        <v>13.478899999999999</v>
      </c>
      <c r="Q58" s="4">
        <v>0</v>
      </c>
      <c r="R58" s="5">
        <v>0.18099999999999999</v>
      </c>
      <c r="S58">
        <v>24</v>
      </c>
      <c r="T58" t="b">
        <v>0</v>
      </c>
      <c r="U58">
        <v>23</v>
      </c>
      <c r="V58" s="4">
        <v>8.7200000000000006</v>
      </c>
    </row>
    <row r="59" spans="1:22" hidden="1" x14ac:dyDescent="0.35">
      <c r="A59" t="s">
        <v>21</v>
      </c>
      <c r="B59">
        <v>1</v>
      </c>
      <c r="C59">
        <v>3</v>
      </c>
      <c r="D59">
        <v>5</v>
      </c>
      <c r="E59" t="s">
        <v>22</v>
      </c>
      <c r="F59">
        <v>50</v>
      </c>
      <c r="G59">
        <v>3</v>
      </c>
      <c r="H59">
        <v>16</v>
      </c>
      <c r="I59" t="s">
        <v>23</v>
      </c>
      <c r="J59" s="3">
        <v>63.929940000000002</v>
      </c>
      <c r="K59" s="3">
        <v>12214.556</v>
      </c>
      <c r="L59" s="3">
        <v>13860.946</v>
      </c>
      <c r="M59" s="3">
        <v>12214.556</v>
      </c>
      <c r="N59" s="3">
        <v>12214.556</v>
      </c>
      <c r="O59" s="4">
        <v>0</v>
      </c>
      <c r="P59" s="4">
        <v>13.478899999999999</v>
      </c>
      <c r="Q59" s="4">
        <v>0</v>
      </c>
      <c r="R59" s="5">
        <v>0.18099999999999999</v>
      </c>
      <c r="S59">
        <v>24</v>
      </c>
      <c r="T59" t="b">
        <v>0</v>
      </c>
      <c r="U59">
        <v>23</v>
      </c>
      <c r="V59" s="4">
        <v>25.51</v>
      </c>
    </row>
    <row r="60" spans="1:22" hidden="1" x14ac:dyDescent="0.35">
      <c r="A60" t="s">
        <v>21</v>
      </c>
      <c r="B60">
        <v>1</v>
      </c>
      <c r="C60">
        <v>3</v>
      </c>
      <c r="D60">
        <v>5</v>
      </c>
      <c r="E60" t="s">
        <v>22</v>
      </c>
      <c r="F60">
        <v>200</v>
      </c>
      <c r="G60">
        <v>1</v>
      </c>
      <c r="H60">
        <v>16</v>
      </c>
      <c r="I60" t="s">
        <v>23</v>
      </c>
      <c r="J60" s="3">
        <v>63.096359999999997</v>
      </c>
      <c r="K60" s="3">
        <v>12214.556</v>
      </c>
      <c r="L60" s="3">
        <v>13860.946</v>
      </c>
      <c r="M60" s="3">
        <v>12214.556</v>
      </c>
      <c r="N60" s="3">
        <v>12214.556</v>
      </c>
      <c r="O60" s="4">
        <v>0</v>
      </c>
      <c r="P60" s="4">
        <v>13.478899999999999</v>
      </c>
      <c r="Q60" s="4">
        <v>0</v>
      </c>
      <c r="R60" s="5">
        <v>0.18099999999999999</v>
      </c>
      <c r="S60">
        <v>24</v>
      </c>
      <c r="T60" t="b">
        <v>0</v>
      </c>
      <c r="U60">
        <v>24</v>
      </c>
      <c r="V60" s="4">
        <v>10.7</v>
      </c>
    </row>
    <row r="61" spans="1:22" hidden="1" x14ac:dyDescent="0.35">
      <c r="A61" t="s">
        <v>21</v>
      </c>
      <c r="B61">
        <v>1</v>
      </c>
      <c r="C61">
        <v>3</v>
      </c>
      <c r="D61">
        <v>5</v>
      </c>
      <c r="E61" t="s">
        <v>22</v>
      </c>
      <c r="F61">
        <v>200</v>
      </c>
      <c r="G61">
        <v>3</v>
      </c>
      <c r="H61">
        <v>16</v>
      </c>
      <c r="I61" t="s">
        <v>23</v>
      </c>
      <c r="J61" s="3">
        <v>63.096359999999997</v>
      </c>
      <c r="K61" s="3">
        <v>12214.556</v>
      </c>
      <c r="L61" s="3">
        <v>13860.946</v>
      </c>
      <c r="M61" s="3">
        <v>12214.556</v>
      </c>
      <c r="N61" s="3">
        <v>12214.556</v>
      </c>
      <c r="O61" s="4">
        <v>0</v>
      </c>
      <c r="P61" s="4">
        <v>13.478899999999999</v>
      </c>
      <c r="Q61" s="4">
        <v>0</v>
      </c>
      <c r="R61" s="5">
        <v>0.18099999999999999</v>
      </c>
      <c r="S61">
        <v>24</v>
      </c>
      <c r="T61" t="b">
        <v>0</v>
      </c>
      <c r="U61">
        <v>24</v>
      </c>
      <c r="V61" s="4">
        <v>29.82</v>
      </c>
    </row>
    <row r="62" spans="1:22" hidden="1" x14ac:dyDescent="0.35">
      <c r="A62" t="s">
        <v>21</v>
      </c>
      <c r="B62">
        <v>1</v>
      </c>
      <c r="C62">
        <v>3</v>
      </c>
      <c r="D62">
        <v>5</v>
      </c>
      <c r="E62" t="s">
        <v>25</v>
      </c>
      <c r="F62">
        <v>50</v>
      </c>
      <c r="G62">
        <v>1</v>
      </c>
      <c r="H62">
        <v>16</v>
      </c>
      <c r="I62" t="s">
        <v>23</v>
      </c>
      <c r="J62" s="3">
        <v>342.77667600000001</v>
      </c>
      <c r="K62" s="3" t="s">
        <v>24</v>
      </c>
      <c r="L62" s="3" t="s">
        <v>24</v>
      </c>
      <c r="M62" s="3" t="s">
        <v>24</v>
      </c>
      <c r="N62" s="3">
        <v>12214.556</v>
      </c>
      <c r="O62" s="4"/>
      <c r="P62" s="4"/>
      <c r="Q62" s="4"/>
      <c r="R62" s="5">
        <v>0</v>
      </c>
      <c r="S62">
        <v>0</v>
      </c>
      <c r="T62" t="b">
        <v>1</v>
      </c>
      <c r="U62">
        <v>-1</v>
      </c>
      <c r="V62" s="4">
        <v>1.99</v>
      </c>
    </row>
    <row r="63" spans="1:22" hidden="1" x14ac:dyDescent="0.35">
      <c r="A63" t="s">
        <v>21</v>
      </c>
      <c r="B63">
        <v>1</v>
      </c>
      <c r="C63">
        <v>3</v>
      </c>
      <c r="D63">
        <v>5</v>
      </c>
      <c r="E63" t="s">
        <v>25</v>
      </c>
      <c r="F63">
        <v>50</v>
      </c>
      <c r="G63">
        <v>3</v>
      </c>
      <c r="H63">
        <v>16</v>
      </c>
      <c r="I63" t="s">
        <v>23</v>
      </c>
      <c r="J63" s="3">
        <v>336.67523299999999</v>
      </c>
      <c r="K63" s="3">
        <v>12895.062</v>
      </c>
      <c r="L63" s="3">
        <v>15056.599</v>
      </c>
      <c r="M63" s="3">
        <v>12895.062</v>
      </c>
      <c r="N63" s="3">
        <v>12214.556</v>
      </c>
      <c r="O63" s="4">
        <v>5.5712999999999999</v>
      </c>
      <c r="P63" s="4">
        <v>23.267700000000001</v>
      </c>
      <c r="Q63" s="4">
        <v>5.5712999999999999</v>
      </c>
      <c r="R63" s="5">
        <v>8.0000000000000004E-4</v>
      </c>
      <c r="S63">
        <v>7</v>
      </c>
      <c r="T63" t="b">
        <v>0</v>
      </c>
      <c r="U63">
        <v>3</v>
      </c>
      <c r="V63" s="4">
        <v>4.83</v>
      </c>
    </row>
    <row r="64" spans="1:22" hidden="1" x14ac:dyDescent="0.35">
      <c r="A64" t="s">
        <v>21</v>
      </c>
      <c r="B64">
        <v>1</v>
      </c>
      <c r="C64">
        <v>3</v>
      </c>
      <c r="D64">
        <v>5</v>
      </c>
      <c r="E64" t="s">
        <v>25</v>
      </c>
      <c r="F64">
        <v>200</v>
      </c>
      <c r="G64">
        <v>1</v>
      </c>
      <c r="H64">
        <v>16</v>
      </c>
      <c r="I64" t="s">
        <v>23</v>
      </c>
      <c r="J64" s="3">
        <v>342.77667600000001</v>
      </c>
      <c r="K64" s="3" t="s">
        <v>24</v>
      </c>
      <c r="L64" s="3" t="s">
        <v>24</v>
      </c>
      <c r="M64" s="3" t="s">
        <v>24</v>
      </c>
      <c r="N64" s="3">
        <v>12214.556</v>
      </c>
      <c r="O64" s="4"/>
      <c r="P64" s="4"/>
      <c r="Q64" s="4"/>
      <c r="R64" s="5">
        <v>0</v>
      </c>
      <c r="S64">
        <v>0</v>
      </c>
      <c r="T64" t="b">
        <v>1</v>
      </c>
      <c r="U64">
        <v>-1</v>
      </c>
      <c r="V64" s="4">
        <v>1.93</v>
      </c>
    </row>
    <row r="65" spans="1:22" hidden="1" x14ac:dyDescent="0.35">
      <c r="A65" t="s">
        <v>21</v>
      </c>
      <c r="B65">
        <v>1</v>
      </c>
      <c r="C65">
        <v>3</v>
      </c>
      <c r="D65">
        <v>5</v>
      </c>
      <c r="E65" t="s">
        <v>25</v>
      </c>
      <c r="F65">
        <v>200</v>
      </c>
      <c r="G65">
        <v>3</v>
      </c>
      <c r="H65">
        <v>16</v>
      </c>
      <c r="I65" t="s">
        <v>23</v>
      </c>
      <c r="J65" s="3">
        <v>336.67523299999999</v>
      </c>
      <c r="K65" s="3">
        <v>12895.062</v>
      </c>
      <c r="L65" s="3">
        <v>15056.599</v>
      </c>
      <c r="M65" s="3">
        <v>12895.062</v>
      </c>
      <c r="N65" s="3">
        <v>12214.556</v>
      </c>
      <c r="O65" s="4">
        <v>5.5712999999999999</v>
      </c>
      <c r="P65" s="4">
        <v>23.267700000000001</v>
      </c>
      <c r="Q65" s="4">
        <v>5.5712999999999999</v>
      </c>
      <c r="R65" s="5">
        <v>8.0000000000000004E-4</v>
      </c>
      <c r="S65">
        <v>7</v>
      </c>
      <c r="T65" t="b">
        <v>0</v>
      </c>
      <c r="U65">
        <v>3</v>
      </c>
      <c r="V65" s="4">
        <v>4.88</v>
      </c>
    </row>
    <row r="66" spans="1:22" hidden="1" x14ac:dyDescent="0.35">
      <c r="A66" t="s">
        <v>21</v>
      </c>
      <c r="B66">
        <v>1</v>
      </c>
      <c r="C66">
        <v>3</v>
      </c>
      <c r="D66">
        <v>10</v>
      </c>
      <c r="E66" t="s">
        <v>22</v>
      </c>
      <c r="F66">
        <v>50</v>
      </c>
      <c r="G66">
        <v>1</v>
      </c>
      <c r="H66">
        <v>16</v>
      </c>
      <c r="I66" t="s">
        <v>23</v>
      </c>
      <c r="J66" s="3">
        <v>325.224245</v>
      </c>
      <c r="K66" s="3">
        <v>12214.556</v>
      </c>
      <c r="L66" s="3">
        <v>13028.438</v>
      </c>
      <c r="M66" s="3">
        <v>12214.556</v>
      </c>
      <c r="N66" s="3">
        <v>12214.556</v>
      </c>
      <c r="O66" s="4">
        <v>0</v>
      </c>
      <c r="P66" s="4">
        <v>6.6631999999999998</v>
      </c>
      <c r="Q66" s="4">
        <v>0</v>
      </c>
      <c r="R66" s="5">
        <v>1.1999999999999999E-3</v>
      </c>
      <c r="S66">
        <v>9</v>
      </c>
      <c r="T66" t="b">
        <v>0</v>
      </c>
      <c r="U66">
        <v>4</v>
      </c>
      <c r="V66" s="4">
        <v>9.5500000000000007</v>
      </c>
    </row>
    <row r="67" spans="1:22" hidden="1" x14ac:dyDescent="0.35">
      <c r="A67" t="s">
        <v>21</v>
      </c>
      <c r="B67">
        <v>1</v>
      </c>
      <c r="C67">
        <v>3</v>
      </c>
      <c r="D67">
        <v>10</v>
      </c>
      <c r="E67" t="s">
        <v>22</v>
      </c>
      <c r="F67">
        <v>50</v>
      </c>
      <c r="G67">
        <v>3</v>
      </c>
      <c r="H67">
        <v>16</v>
      </c>
      <c r="I67" t="s">
        <v>23</v>
      </c>
      <c r="J67" s="3">
        <v>284.93118299999998</v>
      </c>
      <c r="K67" s="3">
        <v>12214.556</v>
      </c>
      <c r="L67" s="3">
        <v>13694.797</v>
      </c>
      <c r="M67" s="3">
        <v>12214.556</v>
      </c>
      <c r="N67" s="3">
        <v>12214.556</v>
      </c>
      <c r="O67" s="4">
        <v>0</v>
      </c>
      <c r="P67" s="4">
        <v>12.1187</v>
      </c>
      <c r="Q67" s="4">
        <v>0</v>
      </c>
      <c r="R67" s="5">
        <v>5.3E-3</v>
      </c>
      <c r="S67">
        <v>23</v>
      </c>
      <c r="T67" t="b">
        <v>0</v>
      </c>
      <c r="U67">
        <v>15</v>
      </c>
      <c r="V67" s="4">
        <v>27.26</v>
      </c>
    </row>
    <row r="68" spans="1:22" hidden="1" x14ac:dyDescent="0.35">
      <c r="A68" t="s">
        <v>21</v>
      </c>
      <c r="B68">
        <v>1</v>
      </c>
      <c r="C68">
        <v>3</v>
      </c>
      <c r="D68">
        <v>10</v>
      </c>
      <c r="E68" t="s">
        <v>22</v>
      </c>
      <c r="F68">
        <v>200</v>
      </c>
      <c r="G68">
        <v>1</v>
      </c>
      <c r="H68">
        <v>16</v>
      </c>
      <c r="I68" t="s">
        <v>23</v>
      </c>
      <c r="J68" s="3">
        <v>323.57670899999999</v>
      </c>
      <c r="K68" s="3">
        <v>12214.556</v>
      </c>
      <c r="L68" s="3">
        <v>13028.438</v>
      </c>
      <c r="M68" s="3">
        <v>12214.556</v>
      </c>
      <c r="N68" s="3">
        <v>12214.556</v>
      </c>
      <c r="O68" s="4">
        <v>0</v>
      </c>
      <c r="P68" s="4">
        <v>6.6631999999999998</v>
      </c>
      <c r="Q68" s="4">
        <v>0</v>
      </c>
      <c r="R68" s="5">
        <v>1.2999999999999999E-3</v>
      </c>
      <c r="S68">
        <v>11</v>
      </c>
      <c r="T68" t="b">
        <v>0</v>
      </c>
      <c r="U68">
        <v>8</v>
      </c>
      <c r="V68" s="4">
        <v>11.97</v>
      </c>
    </row>
    <row r="69" spans="1:22" hidden="1" x14ac:dyDescent="0.35">
      <c r="A69" t="s">
        <v>21</v>
      </c>
      <c r="B69">
        <v>1</v>
      </c>
      <c r="C69">
        <v>3</v>
      </c>
      <c r="D69">
        <v>10</v>
      </c>
      <c r="E69" t="s">
        <v>22</v>
      </c>
      <c r="F69">
        <v>200</v>
      </c>
      <c r="G69">
        <v>3</v>
      </c>
      <c r="H69">
        <v>16</v>
      </c>
      <c r="I69" t="s">
        <v>23</v>
      </c>
      <c r="J69" s="3">
        <v>284.93118299999998</v>
      </c>
      <c r="K69" s="3">
        <v>12214.556</v>
      </c>
      <c r="L69" s="3">
        <v>13694.797</v>
      </c>
      <c r="M69" s="3">
        <v>12214.556</v>
      </c>
      <c r="N69" s="3">
        <v>12214.556</v>
      </c>
      <c r="O69" s="4">
        <v>0</v>
      </c>
      <c r="P69" s="4">
        <v>12.1187</v>
      </c>
      <c r="Q69" s="4">
        <v>0</v>
      </c>
      <c r="R69" s="5">
        <v>5.3E-3</v>
      </c>
      <c r="S69">
        <v>23</v>
      </c>
      <c r="T69" t="b">
        <v>0</v>
      </c>
      <c r="U69">
        <v>15</v>
      </c>
      <c r="V69" s="4">
        <v>29.82</v>
      </c>
    </row>
    <row r="70" spans="1:22" hidden="1" x14ac:dyDescent="0.35">
      <c r="A70" t="s">
        <v>21</v>
      </c>
      <c r="B70">
        <v>1</v>
      </c>
      <c r="C70">
        <v>3</v>
      </c>
      <c r="D70">
        <v>10</v>
      </c>
      <c r="E70" t="s">
        <v>25</v>
      </c>
      <c r="F70">
        <v>50</v>
      </c>
      <c r="G70">
        <v>1</v>
      </c>
      <c r="H70">
        <v>16</v>
      </c>
      <c r="I70" t="s">
        <v>23</v>
      </c>
      <c r="J70" s="3">
        <v>677.62031000000002</v>
      </c>
      <c r="K70" s="3">
        <v>14376.093000000001</v>
      </c>
      <c r="L70" s="3">
        <v>14376.093000000001</v>
      </c>
      <c r="M70" s="3">
        <v>14376.093000000001</v>
      </c>
      <c r="N70" s="3">
        <v>12214.556</v>
      </c>
      <c r="O70" s="4">
        <v>17.696400000000001</v>
      </c>
      <c r="P70" s="4">
        <v>17.696400000000001</v>
      </c>
      <c r="Q70" s="4">
        <v>17.696400000000001</v>
      </c>
      <c r="R70" s="5">
        <v>1E-4</v>
      </c>
      <c r="S70">
        <v>1</v>
      </c>
      <c r="T70" t="b">
        <v>0</v>
      </c>
      <c r="U70">
        <v>1</v>
      </c>
      <c r="V70" s="4">
        <v>1.96</v>
      </c>
    </row>
    <row r="71" spans="1:22" hidden="1" x14ac:dyDescent="0.35">
      <c r="A71" t="s">
        <v>21</v>
      </c>
      <c r="B71">
        <v>1</v>
      </c>
      <c r="C71">
        <v>3</v>
      </c>
      <c r="D71">
        <v>10</v>
      </c>
      <c r="E71" t="s">
        <v>25</v>
      </c>
      <c r="F71">
        <v>50</v>
      </c>
      <c r="G71">
        <v>3</v>
      </c>
      <c r="H71">
        <v>16</v>
      </c>
      <c r="I71" t="s">
        <v>23</v>
      </c>
      <c r="J71" s="3">
        <v>645.11859100000004</v>
      </c>
      <c r="K71" s="3">
        <v>12214.556</v>
      </c>
      <c r="L71" s="3">
        <v>13860.946</v>
      </c>
      <c r="M71" s="3">
        <v>12214.556</v>
      </c>
      <c r="N71" s="3">
        <v>12214.556</v>
      </c>
      <c r="O71" s="4">
        <v>0</v>
      </c>
      <c r="P71" s="4">
        <v>13.478899999999999</v>
      </c>
      <c r="Q71" s="4">
        <v>0</v>
      </c>
      <c r="R71" s="5">
        <v>1.1000000000000001E-3</v>
      </c>
      <c r="S71">
        <v>10</v>
      </c>
      <c r="T71" t="b">
        <v>0</v>
      </c>
      <c r="U71">
        <v>3</v>
      </c>
      <c r="V71" s="4">
        <v>4.93</v>
      </c>
    </row>
    <row r="72" spans="1:22" hidden="1" x14ac:dyDescent="0.35">
      <c r="A72" t="s">
        <v>21</v>
      </c>
      <c r="B72">
        <v>1</v>
      </c>
      <c r="C72">
        <v>3</v>
      </c>
      <c r="D72">
        <v>10</v>
      </c>
      <c r="E72" t="s">
        <v>25</v>
      </c>
      <c r="F72">
        <v>200</v>
      </c>
      <c r="G72">
        <v>1</v>
      </c>
      <c r="H72">
        <v>16</v>
      </c>
      <c r="I72" t="s">
        <v>23</v>
      </c>
      <c r="J72" s="3">
        <v>677.62031000000002</v>
      </c>
      <c r="K72" s="3">
        <v>14376.093000000001</v>
      </c>
      <c r="L72" s="3">
        <v>14376.093000000001</v>
      </c>
      <c r="M72" s="3">
        <v>14376.093000000001</v>
      </c>
      <c r="N72" s="3">
        <v>12214.556</v>
      </c>
      <c r="O72" s="4">
        <v>17.696400000000001</v>
      </c>
      <c r="P72" s="4">
        <v>17.696400000000001</v>
      </c>
      <c r="Q72" s="4">
        <v>17.696400000000001</v>
      </c>
      <c r="R72" s="5">
        <v>1E-4</v>
      </c>
      <c r="S72">
        <v>1</v>
      </c>
      <c r="T72" t="b">
        <v>0</v>
      </c>
      <c r="U72">
        <v>1</v>
      </c>
      <c r="V72" s="4">
        <v>1.92</v>
      </c>
    </row>
    <row r="73" spans="1:22" hidden="1" x14ac:dyDescent="0.35">
      <c r="A73" t="s">
        <v>21</v>
      </c>
      <c r="B73">
        <v>1</v>
      </c>
      <c r="C73">
        <v>3</v>
      </c>
      <c r="D73">
        <v>10</v>
      </c>
      <c r="E73" t="s">
        <v>25</v>
      </c>
      <c r="F73">
        <v>200</v>
      </c>
      <c r="G73">
        <v>3</v>
      </c>
      <c r="H73">
        <v>16</v>
      </c>
      <c r="I73" t="s">
        <v>23</v>
      </c>
      <c r="J73" s="3">
        <v>645.11859100000004</v>
      </c>
      <c r="K73" s="3">
        <v>12214.556</v>
      </c>
      <c r="L73" s="3">
        <v>13860.946</v>
      </c>
      <c r="M73" s="3">
        <v>12214.556</v>
      </c>
      <c r="N73" s="3">
        <v>12214.556</v>
      </c>
      <c r="O73" s="4">
        <v>0</v>
      </c>
      <c r="P73" s="4">
        <v>13.478899999999999</v>
      </c>
      <c r="Q73" s="4">
        <v>0</v>
      </c>
      <c r="R73" s="5">
        <v>1.1000000000000001E-3</v>
      </c>
      <c r="S73">
        <v>10</v>
      </c>
      <c r="T73" t="b">
        <v>0</v>
      </c>
      <c r="U73">
        <v>3</v>
      </c>
      <c r="V73" s="4">
        <v>5.1100000000000003</v>
      </c>
    </row>
    <row r="74" spans="1:22" hidden="1" x14ac:dyDescent="0.35">
      <c r="A74" t="s">
        <v>21</v>
      </c>
      <c r="B74">
        <v>1</v>
      </c>
      <c r="C74">
        <v>5</v>
      </c>
      <c r="D74">
        <v>2</v>
      </c>
      <c r="E74" t="s">
        <v>22</v>
      </c>
      <c r="F74">
        <v>50</v>
      </c>
      <c r="G74">
        <v>1</v>
      </c>
      <c r="H74">
        <v>16</v>
      </c>
      <c r="I74" t="s">
        <v>23</v>
      </c>
      <c r="J74" s="3">
        <v>113.832898</v>
      </c>
      <c r="K74" s="3">
        <v>12895.062</v>
      </c>
      <c r="L74" s="3">
        <v>14376.093000000001</v>
      </c>
      <c r="M74" s="3">
        <v>12214.556</v>
      </c>
      <c r="N74" s="3">
        <v>12214.556</v>
      </c>
      <c r="O74" s="4">
        <v>5.5712999999999999</v>
      </c>
      <c r="P74" s="4">
        <v>17.696400000000001</v>
      </c>
      <c r="Q74" s="4">
        <v>0</v>
      </c>
      <c r="R74" s="5">
        <v>1.35E-2</v>
      </c>
      <c r="S74">
        <v>24</v>
      </c>
      <c r="T74" t="b">
        <v>0</v>
      </c>
      <c r="U74">
        <v>23</v>
      </c>
      <c r="V74" s="4">
        <v>11.47</v>
      </c>
    </row>
    <row r="75" spans="1:22" hidden="1" x14ac:dyDescent="0.35">
      <c r="A75" t="s">
        <v>21</v>
      </c>
      <c r="B75">
        <v>1</v>
      </c>
      <c r="C75">
        <v>5</v>
      </c>
      <c r="D75">
        <v>2</v>
      </c>
      <c r="E75" t="s">
        <v>22</v>
      </c>
      <c r="F75">
        <v>50</v>
      </c>
      <c r="G75">
        <v>3</v>
      </c>
      <c r="H75">
        <v>16</v>
      </c>
      <c r="I75" t="s">
        <v>23</v>
      </c>
      <c r="J75" s="3">
        <v>63.668467</v>
      </c>
      <c r="K75" s="3">
        <v>12214.556</v>
      </c>
      <c r="L75" s="3">
        <v>13424.356</v>
      </c>
      <c r="M75" s="3">
        <v>12214.556</v>
      </c>
      <c r="N75" s="3">
        <v>12214.556</v>
      </c>
      <c r="O75" s="4">
        <v>0</v>
      </c>
      <c r="P75" s="4">
        <v>9.9046000000000003</v>
      </c>
      <c r="Q75" s="4">
        <v>0</v>
      </c>
      <c r="R75" s="5">
        <v>1.11E-2</v>
      </c>
      <c r="S75">
        <v>23</v>
      </c>
      <c r="T75" t="b">
        <v>0</v>
      </c>
      <c r="U75">
        <v>11</v>
      </c>
      <c r="V75" s="4">
        <v>33.729999999999997</v>
      </c>
    </row>
    <row r="76" spans="1:22" hidden="1" x14ac:dyDescent="0.35">
      <c r="A76" t="s">
        <v>21</v>
      </c>
      <c r="B76">
        <v>1</v>
      </c>
      <c r="C76">
        <v>5</v>
      </c>
      <c r="D76">
        <v>2</v>
      </c>
      <c r="E76" t="s">
        <v>22</v>
      </c>
      <c r="F76">
        <v>200</v>
      </c>
      <c r="G76">
        <v>1</v>
      </c>
      <c r="H76">
        <v>16</v>
      </c>
      <c r="I76" t="s">
        <v>23</v>
      </c>
      <c r="J76" s="3">
        <v>113.280744</v>
      </c>
      <c r="K76" s="3">
        <v>12895.062</v>
      </c>
      <c r="L76" s="3">
        <v>14376.093000000001</v>
      </c>
      <c r="M76" s="3">
        <v>12214.556</v>
      </c>
      <c r="N76" s="3">
        <v>12214.556</v>
      </c>
      <c r="O76" s="4">
        <v>5.5712999999999999</v>
      </c>
      <c r="P76" s="4">
        <v>17.696400000000001</v>
      </c>
      <c r="Q76" s="4">
        <v>0</v>
      </c>
      <c r="R76" s="5">
        <v>1.3599999999999999E-2</v>
      </c>
      <c r="S76">
        <v>24</v>
      </c>
      <c r="T76" t="b">
        <v>0</v>
      </c>
      <c r="U76">
        <v>23</v>
      </c>
      <c r="V76" s="4">
        <v>20.89</v>
      </c>
    </row>
    <row r="77" spans="1:22" hidden="1" x14ac:dyDescent="0.35">
      <c r="A77" t="s">
        <v>21</v>
      </c>
      <c r="B77">
        <v>1</v>
      </c>
      <c r="C77">
        <v>5</v>
      </c>
      <c r="D77">
        <v>2</v>
      </c>
      <c r="E77" t="s">
        <v>22</v>
      </c>
      <c r="F77">
        <v>200</v>
      </c>
      <c r="G77">
        <v>3</v>
      </c>
      <c r="H77">
        <v>16</v>
      </c>
      <c r="I77" t="s">
        <v>23</v>
      </c>
      <c r="J77" s="3">
        <v>61.887163999999999</v>
      </c>
      <c r="K77" s="3">
        <v>12214.556</v>
      </c>
      <c r="L77" s="3">
        <v>15056.599</v>
      </c>
      <c r="M77" s="3">
        <v>12214.556</v>
      </c>
      <c r="N77" s="3">
        <v>12214.556</v>
      </c>
      <c r="O77" s="4">
        <v>0</v>
      </c>
      <c r="P77" s="4">
        <v>23.267700000000001</v>
      </c>
      <c r="Q77" s="4">
        <v>0</v>
      </c>
      <c r="R77" s="5">
        <v>1.21E-2</v>
      </c>
      <c r="S77">
        <v>23</v>
      </c>
      <c r="T77" t="b">
        <v>0</v>
      </c>
      <c r="U77">
        <v>16</v>
      </c>
      <c r="V77" s="4">
        <v>62.14</v>
      </c>
    </row>
    <row r="78" spans="1:22" hidden="1" x14ac:dyDescent="0.35">
      <c r="A78" t="s">
        <v>21</v>
      </c>
      <c r="B78">
        <v>1</v>
      </c>
      <c r="C78">
        <v>5</v>
      </c>
      <c r="D78">
        <v>2</v>
      </c>
      <c r="E78" t="s">
        <v>25</v>
      </c>
      <c r="F78">
        <v>50</v>
      </c>
      <c r="G78">
        <v>1</v>
      </c>
      <c r="H78">
        <v>16</v>
      </c>
      <c r="I78" t="s">
        <v>23</v>
      </c>
      <c r="J78" s="3">
        <v>136.66575900000001</v>
      </c>
      <c r="K78" s="3">
        <v>12214.556</v>
      </c>
      <c r="L78" s="3">
        <v>13410.209000000001</v>
      </c>
      <c r="M78" s="3">
        <v>12214.556</v>
      </c>
      <c r="N78" s="3">
        <v>12214.556</v>
      </c>
      <c r="O78" s="4">
        <v>0</v>
      </c>
      <c r="P78" s="4">
        <v>9.7888000000000002</v>
      </c>
      <c r="Q78" s="4">
        <v>0</v>
      </c>
      <c r="R78" s="5">
        <v>1.1000000000000001E-3</v>
      </c>
      <c r="S78">
        <v>8</v>
      </c>
      <c r="T78" t="b">
        <v>0</v>
      </c>
      <c r="U78">
        <v>5</v>
      </c>
      <c r="V78" s="4">
        <v>3.11</v>
      </c>
    </row>
    <row r="79" spans="1:22" hidden="1" x14ac:dyDescent="0.35">
      <c r="A79" t="s">
        <v>21</v>
      </c>
      <c r="B79">
        <v>1</v>
      </c>
      <c r="C79">
        <v>5</v>
      </c>
      <c r="D79">
        <v>2</v>
      </c>
      <c r="E79" t="s">
        <v>25</v>
      </c>
      <c r="F79">
        <v>50</v>
      </c>
      <c r="G79">
        <v>3</v>
      </c>
      <c r="H79">
        <v>16</v>
      </c>
      <c r="I79" t="s">
        <v>23</v>
      </c>
      <c r="J79" s="3">
        <v>136.66575900000001</v>
      </c>
      <c r="K79" s="3">
        <v>12214.556</v>
      </c>
      <c r="L79" s="3">
        <v>13410.209000000001</v>
      </c>
      <c r="M79" s="3">
        <v>12214.556</v>
      </c>
      <c r="N79" s="3">
        <v>12214.556</v>
      </c>
      <c r="O79" s="4">
        <v>0</v>
      </c>
      <c r="P79" s="4">
        <v>9.7888000000000002</v>
      </c>
      <c r="Q79" s="4">
        <v>0</v>
      </c>
      <c r="R79" s="5">
        <v>1.1000000000000001E-3</v>
      </c>
      <c r="S79">
        <v>8</v>
      </c>
      <c r="T79" t="b">
        <v>0</v>
      </c>
      <c r="U79">
        <v>5</v>
      </c>
      <c r="V79" s="4">
        <v>8.64</v>
      </c>
    </row>
    <row r="80" spans="1:22" hidden="1" x14ac:dyDescent="0.35">
      <c r="A80" t="s">
        <v>21</v>
      </c>
      <c r="B80">
        <v>1</v>
      </c>
      <c r="C80">
        <v>5</v>
      </c>
      <c r="D80">
        <v>2</v>
      </c>
      <c r="E80" t="s">
        <v>25</v>
      </c>
      <c r="F80">
        <v>200</v>
      </c>
      <c r="G80">
        <v>1</v>
      </c>
      <c r="H80">
        <v>16</v>
      </c>
      <c r="I80" t="s">
        <v>23</v>
      </c>
      <c r="J80" s="3">
        <v>136.66575900000001</v>
      </c>
      <c r="K80" s="3">
        <v>12214.556</v>
      </c>
      <c r="L80" s="3">
        <v>13410.209000000001</v>
      </c>
      <c r="M80" s="3">
        <v>12214.556</v>
      </c>
      <c r="N80" s="3">
        <v>12214.556</v>
      </c>
      <c r="O80" s="4">
        <v>0</v>
      </c>
      <c r="P80" s="4">
        <v>9.7888000000000002</v>
      </c>
      <c r="Q80" s="4">
        <v>0</v>
      </c>
      <c r="R80" s="5">
        <v>1.1000000000000001E-3</v>
      </c>
      <c r="S80">
        <v>8</v>
      </c>
      <c r="T80" t="b">
        <v>0</v>
      </c>
      <c r="U80">
        <v>5</v>
      </c>
      <c r="V80" s="4">
        <v>3.08</v>
      </c>
    </row>
    <row r="81" spans="1:22" hidden="1" x14ac:dyDescent="0.35">
      <c r="A81" t="s">
        <v>21</v>
      </c>
      <c r="B81">
        <v>1</v>
      </c>
      <c r="C81">
        <v>5</v>
      </c>
      <c r="D81">
        <v>2</v>
      </c>
      <c r="E81" t="s">
        <v>25</v>
      </c>
      <c r="F81">
        <v>200</v>
      </c>
      <c r="G81">
        <v>3</v>
      </c>
      <c r="H81">
        <v>16</v>
      </c>
      <c r="I81" t="s">
        <v>23</v>
      </c>
      <c r="J81" s="3">
        <v>136.66575900000001</v>
      </c>
      <c r="K81" s="3">
        <v>12214.556</v>
      </c>
      <c r="L81" s="3">
        <v>13410.209000000001</v>
      </c>
      <c r="M81" s="3">
        <v>12214.556</v>
      </c>
      <c r="N81" s="3">
        <v>12214.556</v>
      </c>
      <c r="O81" s="4">
        <v>0</v>
      </c>
      <c r="P81" s="4">
        <v>9.7888000000000002</v>
      </c>
      <c r="Q81" s="4">
        <v>0</v>
      </c>
      <c r="R81" s="5">
        <v>1.1000000000000001E-3</v>
      </c>
      <c r="S81">
        <v>8</v>
      </c>
      <c r="T81" t="b">
        <v>0</v>
      </c>
      <c r="U81">
        <v>5</v>
      </c>
      <c r="V81" s="4">
        <v>8.36</v>
      </c>
    </row>
    <row r="82" spans="1:22" hidden="1" x14ac:dyDescent="0.35">
      <c r="A82" t="s">
        <v>21</v>
      </c>
      <c r="B82">
        <v>1</v>
      </c>
      <c r="C82">
        <v>5</v>
      </c>
      <c r="D82">
        <v>5</v>
      </c>
      <c r="E82" t="s">
        <v>22</v>
      </c>
      <c r="F82">
        <v>50</v>
      </c>
      <c r="G82">
        <v>1</v>
      </c>
      <c r="H82">
        <v>16</v>
      </c>
      <c r="I82" t="s">
        <v>23</v>
      </c>
      <c r="J82" s="3">
        <v>246.93096199999999</v>
      </c>
      <c r="K82" s="3">
        <v>12895.062</v>
      </c>
      <c r="L82" s="3">
        <v>14242.717000000001</v>
      </c>
      <c r="M82" s="3">
        <v>12214.556</v>
      </c>
      <c r="N82" s="3">
        <v>12214.556</v>
      </c>
      <c r="O82" s="4">
        <v>5.5712999999999999</v>
      </c>
      <c r="P82" s="4">
        <v>16.604500000000002</v>
      </c>
      <c r="Q82" s="4">
        <v>0</v>
      </c>
      <c r="R82" s="5">
        <v>7.3000000000000001E-3</v>
      </c>
      <c r="S82">
        <v>24</v>
      </c>
      <c r="T82" t="b">
        <v>0</v>
      </c>
      <c r="U82">
        <v>12</v>
      </c>
      <c r="V82" s="4">
        <v>11.58</v>
      </c>
    </row>
    <row r="83" spans="1:22" hidden="1" x14ac:dyDescent="0.35">
      <c r="A83" t="s">
        <v>21</v>
      </c>
      <c r="B83">
        <v>1</v>
      </c>
      <c r="C83">
        <v>5</v>
      </c>
      <c r="D83">
        <v>5</v>
      </c>
      <c r="E83" t="s">
        <v>22</v>
      </c>
      <c r="F83">
        <v>50</v>
      </c>
      <c r="G83">
        <v>3</v>
      </c>
      <c r="H83">
        <v>16</v>
      </c>
      <c r="I83" t="s">
        <v>23</v>
      </c>
      <c r="J83" s="3">
        <v>133.60732300000001</v>
      </c>
      <c r="K83" s="3">
        <v>12214.556</v>
      </c>
      <c r="L83" s="3">
        <v>12214.556</v>
      </c>
      <c r="M83" s="3">
        <v>12214.556</v>
      </c>
      <c r="N83" s="3">
        <v>12214.556</v>
      </c>
      <c r="O83" s="4">
        <v>0</v>
      </c>
      <c r="P83" s="4">
        <v>0</v>
      </c>
      <c r="Q83" s="4">
        <v>0</v>
      </c>
      <c r="R83" s="5">
        <v>2.4299999999999999E-2</v>
      </c>
      <c r="S83">
        <v>24</v>
      </c>
      <c r="T83" t="b">
        <v>0</v>
      </c>
      <c r="U83">
        <v>7</v>
      </c>
      <c r="V83" s="4">
        <v>33.61</v>
      </c>
    </row>
    <row r="84" spans="1:22" hidden="1" x14ac:dyDescent="0.35">
      <c r="A84" t="s">
        <v>21</v>
      </c>
      <c r="B84">
        <v>1</v>
      </c>
      <c r="C84">
        <v>5</v>
      </c>
      <c r="D84">
        <v>5</v>
      </c>
      <c r="E84" t="s">
        <v>22</v>
      </c>
      <c r="F84">
        <v>200</v>
      </c>
      <c r="G84">
        <v>1</v>
      </c>
      <c r="H84">
        <v>16</v>
      </c>
      <c r="I84" t="s">
        <v>23</v>
      </c>
      <c r="J84" s="3">
        <v>236.12990600000001</v>
      </c>
      <c r="K84" s="3">
        <v>12895.062</v>
      </c>
      <c r="L84" s="3">
        <v>14242.717000000001</v>
      </c>
      <c r="M84" s="3">
        <v>12214.556</v>
      </c>
      <c r="N84" s="3">
        <v>12214.556</v>
      </c>
      <c r="O84" s="4">
        <v>5.5712999999999999</v>
      </c>
      <c r="P84" s="4">
        <v>16.604500000000002</v>
      </c>
      <c r="Q84" s="4">
        <v>0</v>
      </c>
      <c r="R84" s="5">
        <v>1.0699999999999999E-2</v>
      </c>
      <c r="S84">
        <v>24</v>
      </c>
      <c r="T84" t="b">
        <v>0</v>
      </c>
      <c r="U84">
        <v>21</v>
      </c>
      <c r="V84" s="4">
        <v>24.16</v>
      </c>
    </row>
    <row r="85" spans="1:22" hidden="1" x14ac:dyDescent="0.35">
      <c r="A85" t="s">
        <v>21</v>
      </c>
      <c r="B85">
        <v>1</v>
      </c>
      <c r="C85">
        <v>5</v>
      </c>
      <c r="D85">
        <v>5</v>
      </c>
      <c r="E85" t="s">
        <v>22</v>
      </c>
      <c r="F85">
        <v>200</v>
      </c>
      <c r="G85">
        <v>3</v>
      </c>
      <c r="H85">
        <v>16</v>
      </c>
      <c r="I85" t="s">
        <v>23</v>
      </c>
      <c r="J85" s="3">
        <v>129.78007400000001</v>
      </c>
      <c r="K85" s="3">
        <v>12214.556</v>
      </c>
      <c r="L85" s="3">
        <v>13424.356</v>
      </c>
      <c r="M85" s="3">
        <v>12214.556</v>
      </c>
      <c r="N85" s="3">
        <v>12214.556</v>
      </c>
      <c r="O85" s="4">
        <v>0</v>
      </c>
      <c r="P85" s="4">
        <v>9.9046000000000003</v>
      </c>
      <c r="Q85" s="4">
        <v>0</v>
      </c>
      <c r="R85" s="5">
        <v>1.9900000000000001E-2</v>
      </c>
      <c r="S85">
        <v>24</v>
      </c>
      <c r="T85" t="b">
        <v>0</v>
      </c>
      <c r="U85">
        <v>14</v>
      </c>
      <c r="V85" s="4">
        <v>63.29</v>
      </c>
    </row>
    <row r="86" spans="1:22" hidden="1" x14ac:dyDescent="0.35">
      <c r="A86" t="s">
        <v>21</v>
      </c>
      <c r="B86">
        <v>1</v>
      </c>
      <c r="C86">
        <v>5</v>
      </c>
      <c r="D86">
        <v>5</v>
      </c>
      <c r="E86" t="s">
        <v>25</v>
      </c>
      <c r="F86">
        <v>50</v>
      </c>
      <c r="G86">
        <v>1</v>
      </c>
      <c r="H86">
        <v>16</v>
      </c>
      <c r="I86" t="s">
        <v>23</v>
      </c>
      <c r="J86" s="3">
        <v>330.08280600000001</v>
      </c>
      <c r="K86" s="3">
        <v>12214.556</v>
      </c>
      <c r="L86" s="3">
        <v>13424.356</v>
      </c>
      <c r="M86" s="3">
        <v>12214.556</v>
      </c>
      <c r="N86" s="3">
        <v>12214.556</v>
      </c>
      <c r="O86" s="4">
        <v>0</v>
      </c>
      <c r="P86" s="4">
        <v>9.9046000000000003</v>
      </c>
      <c r="Q86" s="4">
        <v>0</v>
      </c>
      <c r="R86" s="5">
        <v>5.7000000000000002E-3</v>
      </c>
      <c r="S86">
        <v>21</v>
      </c>
      <c r="T86" t="b">
        <v>0</v>
      </c>
      <c r="U86">
        <v>6</v>
      </c>
      <c r="V86" s="4">
        <v>3.06</v>
      </c>
    </row>
    <row r="87" spans="1:22" hidden="1" x14ac:dyDescent="0.35">
      <c r="A87" t="s">
        <v>21</v>
      </c>
      <c r="B87">
        <v>1</v>
      </c>
      <c r="C87">
        <v>5</v>
      </c>
      <c r="D87">
        <v>5</v>
      </c>
      <c r="E87" t="s">
        <v>25</v>
      </c>
      <c r="F87">
        <v>50</v>
      </c>
      <c r="G87">
        <v>3</v>
      </c>
      <c r="H87">
        <v>16</v>
      </c>
      <c r="I87" t="s">
        <v>23</v>
      </c>
      <c r="J87" s="3">
        <v>330.08280600000001</v>
      </c>
      <c r="K87" s="3">
        <v>12214.556</v>
      </c>
      <c r="L87" s="3">
        <v>13424.356</v>
      </c>
      <c r="M87" s="3">
        <v>12214.556</v>
      </c>
      <c r="N87" s="3">
        <v>12214.556</v>
      </c>
      <c r="O87" s="4">
        <v>0</v>
      </c>
      <c r="P87" s="4">
        <v>9.9046000000000003</v>
      </c>
      <c r="Q87" s="4">
        <v>0</v>
      </c>
      <c r="R87" s="5">
        <v>5.7000000000000002E-3</v>
      </c>
      <c r="S87">
        <v>21</v>
      </c>
      <c r="T87" t="b">
        <v>0</v>
      </c>
      <c r="U87">
        <v>6</v>
      </c>
      <c r="V87" s="4">
        <v>8.61</v>
      </c>
    </row>
    <row r="88" spans="1:22" hidden="1" x14ac:dyDescent="0.35">
      <c r="A88" t="s">
        <v>21</v>
      </c>
      <c r="B88">
        <v>1</v>
      </c>
      <c r="C88">
        <v>5</v>
      </c>
      <c r="D88">
        <v>5</v>
      </c>
      <c r="E88" t="s">
        <v>25</v>
      </c>
      <c r="F88">
        <v>200</v>
      </c>
      <c r="G88">
        <v>1</v>
      </c>
      <c r="H88">
        <v>16</v>
      </c>
      <c r="I88" t="s">
        <v>23</v>
      </c>
      <c r="J88" s="3">
        <v>330.08280600000001</v>
      </c>
      <c r="K88" s="3">
        <v>12214.556</v>
      </c>
      <c r="L88" s="3">
        <v>13424.356</v>
      </c>
      <c r="M88" s="3">
        <v>12214.556</v>
      </c>
      <c r="N88" s="3">
        <v>12214.556</v>
      </c>
      <c r="O88" s="4">
        <v>0</v>
      </c>
      <c r="P88" s="4">
        <v>9.9046000000000003</v>
      </c>
      <c r="Q88" s="4">
        <v>0</v>
      </c>
      <c r="R88" s="5">
        <v>5.7000000000000002E-3</v>
      </c>
      <c r="S88">
        <v>21</v>
      </c>
      <c r="T88" t="b">
        <v>0</v>
      </c>
      <c r="U88">
        <v>6</v>
      </c>
      <c r="V88" s="4">
        <v>3.08</v>
      </c>
    </row>
    <row r="89" spans="1:22" hidden="1" x14ac:dyDescent="0.35">
      <c r="A89" t="s">
        <v>21</v>
      </c>
      <c r="B89">
        <v>1</v>
      </c>
      <c r="C89">
        <v>5</v>
      </c>
      <c r="D89">
        <v>5</v>
      </c>
      <c r="E89" t="s">
        <v>25</v>
      </c>
      <c r="F89">
        <v>200</v>
      </c>
      <c r="G89">
        <v>3</v>
      </c>
      <c r="H89">
        <v>16</v>
      </c>
      <c r="I89" t="s">
        <v>23</v>
      </c>
      <c r="J89" s="3">
        <v>330.08280600000001</v>
      </c>
      <c r="K89" s="3">
        <v>12214.556</v>
      </c>
      <c r="L89" s="3">
        <v>13424.356</v>
      </c>
      <c r="M89" s="3">
        <v>12214.556</v>
      </c>
      <c r="N89" s="3">
        <v>12214.556</v>
      </c>
      <c r="O89" s="4">
        <v>0</v>
      </c>
      <c r="P89" s="4">
        <v>9.9046000000000003</v>
      </c>
      <c r="Q89" s="4">
        <v>0</v>
      </c>
      <c r="R89" s="5">
        <v>5.7000000000000002E-3</v>
      </c>
      <c r="S89">
        <v>21</v>
      </c>
      <c r="T89" t="b">
        <v>0</v>
      </c>
      <c r="U89">
        <v>6</v>
      </c>
      <c r="V89" s="4">
        <v>8.4</v>
      </c>
    </row>
    <row r="90" spans="1:22" hidden="1" x14ac:dyDescent="0.35">
      <c r="A90" t="s">
        <v>21</v>
      </c>
      <c r="B90">
        <v>1</v>
      </c>
      <c r="C90">
        <v>5</v>
      </c>
      <c r="D90">
        <v>10</v>
      </c>
      <c r="E90" t="s">
        <v>22</v>
      </c>
      <c r="F90">
        <v>50</v>
      </c>
      <c r="G90">
        <v>1</v>
      </c>
      <c r="H90">
        <v>16</v>
      </c>
      <c r="I90" t="s">
        <v>23</v>
      </c>
      <c r="J90" s="3">
        <v>159.41334000000001</v>
      </c>
      <c r="K90" s="3">
        <v>12214.556</v>
      </c>
      <c r="L90" s="3">
        <v>13860.946</v>
      </c>
      <c r="M90" s="3">
        <v>12214.556</v>
      </c>
      <c r="N90" s="3">
        <v>12214.556</v>
      </c>
      <c r="O90" s="4">
        <v>0</v>
      </c>
      <c r="P90" s="4">
        <v>13.478899999999999</v>
      </c>
      <c r="Q90" s="4">
        <v>0</v>
      </c>
      <c r="R90" s="5">
        <v>3.2599999999999997E-2</v>
      </c>
      <c r="S90">
        <v>24</v>
      </c>
      <c r="T90" t="b">
        <v>0</v>
      </c>
      <c r="U90">
        <v>24</v>
      </c>
      <c r="V90" s="4">
        <v>10.81</v>
      </c>
    </row>
    <row r="91" spans="1:22" hidden="1" x14ac:dyDescent="0.35">
      <c r="A91" t="s">
        <v>21</v>
      </c>
      <c r="B91">
        <v>1</v>
      </c>
      <c r="C91">
        <v>5</v>
      </c>
      <c r="D91">
        <v>10</v>
      </c>
      <c r="E91" t="s">
        <v>22</v>
      </c>
      <c r="F91">
        <v>50</v>
      </c>
      <c r="G91">
        <v>3</v>
      </c>
      <c r="H91">
        <v>16</v>
      </c>
      <c r="I91" t="s">
        <v>23</v>
      </c>
      <c r="J91" s="3">
        <v>159.41334000000001</v>
      </c>
      <c r="K91" s="3">
        <v>12214.556</v>
      </c>
      <c r="L91" s="3">
        <v>13860.946</v>
      </c>
      <c r="M91" s="3">
        <v>12214.556</v>
      </c>
      <c r="N91" s="3">
        <v>12214.556</v>
      </c>
      <c r="O91" s="4">
        <v>0</v>
      </c>
      <c r="P91" s="4">
        <v>13.478899999999999</v>
      </c>
      <c r="Q91" s="4">
        <v>0</v>
      </c>
      <c r="R91" s="5">
        <v>3.2599999999999997E-2</v>
      </c>
      <c r="S91">
        <v>24</v>
      </c>
      <c r="T91" t="b">
        <v>0</v>
      </c>
      <c r="U91">
        <v>24</v>
      </c>
      <c r="V91" s="4">
        <v>32.51</v>
      </c>
    </row>
    <row r="92" spans="1:22" hidden="1" x14ac:dyDescent="0.35">
      <c r="A92" t="s">
        <v>21</v>
      </c>
      <c r="B92">
        <v>1</v>
      </c>
      <c r="C92">
        <v>5</v>
      </c>
      <c r="D92">
        <v>10</v>
      </c>
      <c r="E92" t="s">
        <v>22</v>
      </c>
      <c r="F92">
        <v>200</v>
      </c>
      <c r="G92">
        <v>1</v>
      </c>
      <c r="H92">
        <v>16</v>
      </c>
      <c r="I92" t="s">
        <v>23</v>
      </c>
      <c r="J92" s="3">
        <v>144.79753400000001</v>
      </c>
      <c r="K92" s="3">
        <v>13028.438</v>
      </c>
      <c r="L92" s="3">
        <v>13846.799000000001</v>
      </c>
      <c r="M92" s="3">
        <v>12214.556</v>
      </c>
      <c r="N92" s="3">
        <v>12214.556</v>
      </c>
      <c r="O92" s="4">
        <v>6.6631999999999998</v>
      </c>
      <c r="P92" s="4">
        <v>13.363099999999999</v>
      </c>
      <c r="Q92" s="4">
        <v>0</v>
      </c>
      <c r="R92" s="5">
        <v>3.44E-2</v>
      </c>
      <c r="S92">
        <v>24</v>
      </c>
      <c r="T92" t="b">
        <v>0</v>
      </c>
      <c r="U92">
        <v>14</v>
      </c>
      <c r="V92" s="4">
        <v>26.35</v>
      </c>
    </row>
    <row r="93" spans="1:22" hidden="1" x14ac:dyDescent="0.35">
      <c r="A93" t="s">
        <v>21</v>
      </c>
      <c r="B93">
        <v>1</v>
      </c>
      <c r="C93">
        <v>5</v>
      </c>
      <c r="D93">
        <v>10</v>
      </c>
      <c r="E93" t="s">
        <v>22</v>
      </c>
      <c r="F93">
        <v>200</v>
      </c>
      <c r="G93">
        <v>3</v>
      </c>
      <c r="H93">
        <v>16</v>
      </c>
      <c r="I93" t="s">
        <v>23</v>
      </c>
      <c r="J93" s="3">
        <v>117.61391999999999</v>
      </c>
      <c r="K93" s="3">
        <v>12214.556</v>
      </c>
      <c r="L93" s="3">
        <v>14242.717000000001</v>
      </c>
      <c r="M93" s="3">
        <v>12214.556</v>
      </c>
      <c r="N93" s="3">
        <v>12214.556</v>
      </c>
      <c r="O93" s="4">
        <v>0</v>
      </c>
      <c r="P93" s="4">
        <v>16.604500000000002</v>
      </c>
      <c r="Q93" s="4">
        <v>0</v>
      </c>
      <c r="R93" s="5">
        <v>9.8299999999999998E-2</v>
      </c>
      <c r="S93">
        <v>24</v>
      </c>
      <c r="T93" t="b">
        <v>0</v>
      </c>
      <c r="U93">
        <v>11</v>
      </c>
      <c r="V93" s="4">
        <v>68.72</v>
      </c>
    </row>
    <row r="94" spans="1:22" hidden="1" x14ac:dyDescent="0.35">
      <c r="A94" t="s">
        <v>21</v>
      </c>
      <c r="B94">
        <v>1</v>
      </c>
      <c r="C94">
        <v>5</v>
      </c>
      <c r="D94">
        <v>10</v>
      </c>
      <c r="E94" t="s">
        <v>25</v>
      </c>
      <c r="F94">
        <v>50</v>
      </c>
      <c r="G94">
        <v>1</v>
      </c>
      <c r="H94">
        <v>16</v>
      </c>
      <c r="I94" t="s">
        <v>23</v>
      </c>
      <c r="J94" s="3">
        <v>669.55134299999997</v>
      </c>
      <c r="K94" s="3">
        <v>12214.556</v>
      </c>
      <c r="L94" s="3">
        <v>12214.556</v>
      </c>
      <c r="M94" s="3">
        <v>12214.556</v>
      </c>
      <c r="N94" s="3">
        <v>12214.556</v>
      </c>
      <c r="O94" s="4">
        <v>0</v>
      </c>
      <c r="P94" s="4">
        <v>0</v>
      </c>
      <c r="Q94" s="4">
        <v>0</v>
      </c>
      <c r="R94" s="5">
        <v>8.8999999999999999E-3</v>
      </c>
      <c r="S94">
        <v>22</v>
      </c>
      <c r="T94" t="b">
        <v>0</v>
      </c>
      <c r="U94">
        <v>13</v>
      </c>
      <c r="V94" s="4">
        <v>3.17</v>
      </c>
    </row>
    <row r="95" spans="1:22" hidden="1" x14ac:dyDescent="0.35">
      <c r="A95" t="s">
        <v>21</v>
      </c>
      <c r="B95">
        <v>1</v>
      </c>
      <c r="C95">
        <v>5</v>
      </c>
      <c r="D95">
        <v>10</v>
      </c>
      <c r="E95" t="s">
        <v>25</v>
      </c>
      <c r="F95">
        <v>50</v>
      </c>
      <c r="G95">
        <v>3</v>
      </c>
      <c r="H95">
        <v>16</v>
      </c>
      <c r="I95" t="s">
        <v>23</v>
      </c>
      <c r="J95" s="3">
        <v>669.55134299999997</v>
      </c>
      <c r="K95" s="3">
        <v>12214.556</v>
      </c>
      <c r="L95" s="3">
        <v>12214.556</v>
      </c>
      <c r="M95" s="3">
        <v>12214.556</v>
      </c>
      <c r="N95" s="3">
        <v>12214.556</v>
      </c>
      <c r="O95" s="4">
        <v>0</v>
      </c>
      <c r="P95" s="4">
        <v>0</v>
      </c>
      <c r="Q95" s="4">
        <v>0</v>
      </c>
      <c r="R95" s="5">
        <v>8.8999999999999999E-3</v>
      </c>
      <c r="S95">
        <v>22</v>
      </c>
      <c r="T95" t="b">
        <v>0</v>
      </c>
      <c r="U95">
        <v>13</v>
      </c>
      <c r="V95" s="4">
        <v>8.4700000000000006</v>
      </c>
    </row>
    <row r="96" spans="1:22" hidden="1" x14ac:dyDescent="0.35">
      <c r="A96" t="s">
        <v>21</v>
      </c>
      <c r="B96">
        <v>1</v>
      </c>
      <c r="C96">
        <v>5</v>
      </c>
      <c r="D96">
        <v>10</v>
      </c>
      <c r="E96" t="s">
        <v>25</v>
      </c>
      <c r="F96">
        <v>200</v>
      </c>
      <c r="G96">
        <v>1</v>
      </c>
      <c r="H96">
        <v>16</v>
      </c>
      <c r="I96" t="s">
        <v>23</v>
      </c>
      <c r="J96" s="3">
        <v>669.55134299999997</v>
      </c>
      <c r="K96" s="3">
        <v>12214.556</v>
      </c>
      <c r="L96" s="3">
        <v>12214.556</v>
      </c>
      <c r="M96" s="3">
        <v>12214.556</v>
      </c>
      <c r="N96" s="3">
        <v>12214.556</v>
      </c>
      <c r="O96" s="4">
        <v>0</v>
      </c>
      <c r="P96" s="4">
        <v>0</v>
      </c>
      <c r="Q96" s="4">
        <v>0</v>
      </c>
      <c r="R96" s="5">
        <v>8.8999999999999999E-3</v>
      </c>
      <c r="S96">
        <v>22</v>
      </c>
      <c r="T96" t="b">
        <v>0</v>
      </c>
      <c r="U96">
        <v>13</v>
      </c>
      <c r="V96" s="4">
        <v>3.15</v>
      </c>
    </row>
    <row r="97" spans="1:22" hidden="1" x14ac:dyDescent="0.35">
      <c r="A97" t="s">
        <v>21</v>
      </c>
      <c r="B97">
        <v>1</v>
      </c>
      <c r="C97">
        <v>5</v>
      </c>
      <c r="D97">
        <v>10</v>
      </c>
      <c r="E97" t="s">
        <v>25</v>
      </c>
      <c r="F97">
        <v>200</v>
      </c>
      <c r="G97">
        <v>3</v>
      </c>
      <c r="H97">
        <v>16</v>
      </c>
      <c r="I97" t="s">
        <v>23</v>
      </c>
      <c r="J97" s="3">
        <v>669.55134299999997</v>
      </c>
      <c r="K97" s="3">
        <v>12214.556</v>
      </c>
      <c r="L97" s="3">
        <v>12214.556</v>
      </c>
      <c r="M97" s="3">
        <v>12214.556</v>
      </c>
      <c r="N97" s="3">
        <v>12214.556</v>
      </c>
      <c r="O97" s="4">
        <v>0</v>
      </c>
      <c r="P97" s="4">
        <v>0</v>
      </c>
      <c r="Q97" s="4">
        <v>0</v>
      </c>
      <c r="R97" s="5">
        <v>8.8999999999999999E-3</v>
      </c>
      <c r="S97">
        <v>22</v>
      </c>
      <c r="T97" t="b">
        <v>0</v>
      </c>
      <c r="U97">
        <v>13</v>
      </c>
      <c r="V97" s="4">
        <v>8.41</v>
      </c>
    </row>
    <row r="98" spans="1:22" hidden="1" x14ac:dyDescent="0.35">
      <c r="A98" t="s">
        <v>21</v>
      </c>
      <c r="B98">
        <v>2</v>
      </c>
      <c r="C98">
        <v>1</v>
      </c>
      <c r="D98">
        <v>2</v>
      </c>
      <c r="E98" t="s">
        <v>22</v>
      </c>
      <c r="F98">
        <v>50</v>
      </c>
      <c r="G98">
        <v>1</v>
      </c>
      <c r="H98">
        <v>20</v>
      </c>
      <c r="I98" t="s">
        <v>26</v>
      </c>
      <c r="J98" s="3">
        <v>48.143301999999998</v>
      </c>
      <c r="K98" s="3">
        <v>15143.349</v>
      </c>
      <c r="L98" s="3">
        <v>15143.349</v>
      </c>
      <c r="M98" s="3">
        <v>15143.349</v>
      </c>
      <c r="N98" s="3">
        <v>15143.349</v>
      </c>
      <c r="O98" s="4">
        <v>0</v>
      </c>
      <c r="P98" s="4">
        <v>0</v>
      </c>
      <c r="Q98" s="4">
        <v>0</v>
      </c>
      <c r="R98" s="5">
        <v>6.7000000000000002E-3</v>
      </c>
      <c r="S98">
        <v>33</v>
      </c>
      <c r="T98" t="b">
        <v>0</v>
      </c>
      <c r="U98">
        <v>1</v>
      </c>
      <c r="V98" s="4">
        <v>6.03</v>
      </c>
    </row>
    <row r="99" spans="1:22" hidden="1" x14ac:dyDescent="0.35">
      <c r="A99" t="s">
        <v>21</v>
      </c>
      <c r="B99">
        <v>2</v>
      </c>
      <c r="C99">
        <v>1</v>
      </c>
      <c r="D99">
        <v>2</v>
      </c>
      <c r="E99" t="s">
        <v>22</v>
      </c>
      <c r="F99">
        <v>50</v>
      </c>
      <c r="G99">
        <v>3</v>
      </c>
      <c r="H99">
        <v>20</v>
      </c>
      <c r="I99" t="s">
        <v>26</v>
      </c>
      <c r="J99" s="3">
        <v>48.143301999999998</v>
      </c>
      <c r="K99" s="3">
        <v>15143.349</v>
      </c>
      <c r="L99" s="3">
        <v>15143.349</v>
      </c>
      <c r="M99" s="3">
        <v>15143.349</v>
      </c>
      <c r="N99" s="3">
        <v>15143.349</v>
      </c>
      <c r="O99" s="4">
        <v>0</v>
      </c>
      <c r="P99" s="4">
        <v>0</v>
      </c>
      <c r="Q99" s="4">
        <v>0</v>
      </c>
      <c r="R99" s="5">
        <v>6.7000000000000002E-3</v>
      </c>
      <c r="S99">
        <v>33</v>
      </c>
      <c r="T99" t="b">
        <v>0</v>
      </c>
      <c r="U99">
        <v>1</v>
      </c>
      <c r="V99" s="4">
        <v>17.05</v>
      </c>
    </row>
    <row r="100" spans="1:22" hidden="1" x14ac:dyDescent="0.35">
      <c r="A100" t="s">
        <v>21</v>
      </c>
      <c r="B100">
        <v>2</v>
      </c>
      <c r="C100">
        <v>1</v>
      </c>
      <c r="D100">
        <v>2</v>
      </c>
      <c r="E100" t="s">
        <v>22</v>
      </c>
      <c r="F100">
        <v>200</v>
      </c>
      <c r="G100">
        <v>1</v>
      </c>
      <c r="H100">
        <v>20</v>
      </c>
      <c r="I100" t="s">
        <v>26</v>
      </c>
      <c r="J100" s="3">
        <v>48.143301999999998</v>
      </c>
      <c r="K100" s="3">
        <v>15143.349</v>
      </c>
      <c r="L100" s="3">
        <v>15143.349</v>
      </c>
      <c r="M100" s="3">
        <v>15143.349</v>
      </c>
      <c r="N100" s="3">
        <v>15143.349</v>
      </c>
      <c r="O100" s="4">
        <v>0</v>
      </c>
      <c r="P100" s="4">
        <v>0</v>
      </c>
      <c r="Q100" s="4">
        <v>0</v>
      </c>
      <c r="R100" s="5">
        <v>6.7000000000000002E-3</v>
      </c>
      <c r="S100">
        <v>33</v>
      </c>
      <c r="T100" t="b">
        <v>0</v>
      </c>
      <c r="U100">
        <v>1</v>
      </c>
      <c r="V100" s="4">
        <v>6.02</v>
      </c>
    </row>
    <row r="101" spans="1:22" hidden="1" x14ac:dyDescent="0.35">
      <c r="A101" t="s">
        <v>21</v>
      </c>
      <c r="B101">
        <v>2</v>
      </c>
      <c r="C101">
        <v>1</v>
      </c>
      <c r="D101">
        <v>2</v>
      </c>
      <c r="E101" t="s">
        <v>22</v>
      </c>
      <c r="F101">
        <v>200</v>
      </c>
      <c r="G101">
        <v>3</v>
      </c>
      <c r="H101">
        <v>20</v>
      </c>
      <c r="I101" t="s">
        <v>26</v>
      </c>
      <c r="J101" s="3">
        <v>48.143301999999998</v>
      </c>
      <c r="K101" s="3">
        <v>15143.349</v>
      </c>
      <c r="L101" s="3">
        <v>15143.349</v>
      </c>
      <c r="M101" s="3">
        <v>15143.349</v>
      </c>
      <c r="N101" s="3">
        <v>15143.349</v>
      </c>
      <c r="O101" s="4">
        <v>0</v>
      </c>
      <c r="P101" s="4">
        <v>0</v>
      </c>
      <c r="Q101" s="4">
        <v>0</v>
      </c>
      <c r="R101" s="5">
        <v>6.7000000000000002E-3</v>
      </c>
      <c r="S101">
        <v>33</v>
      </c>
      <c r="T101" t="b">
        <v>0</v>
      </c>
      <c r="U101">
        <v>1</v>
      </c>
      <c r="V101" s="4">
        <v>17.190000000000001</v>
      </c>
    </row>
    <row r="102" spans="1:22" hidden="1" x14ac:dyDescent="0.35">
      <c r="A102" t="s">
        <v>21</v>
      </c>
      <c r="B102">
        <v>2</v>
      </c>
      <c r="C102">
        <v>1</v>
      </c>
      <c r="D102">
        <v>2</v>
      </c>
      <c r="E102" t="s">
        <v>25</v>
      </c>
      <c r="F102">
        <v>50</v>
      </c>
      <c r="G102">
        <v>1</v>
      </c>
      <c r="H102">
        <v>20</v>
      </c>
      <c r="I102" t="s">
        <v>26</v>
      </c>
      <c r="J102" s="3">
        <v>168.30756400000001</v>
      </c>
      <c r="K102" s="3" t="s">
        <v>24</v>
      </c>
      <c r="L102" s="3" t="s">
        <v>24</v>
      </c>
      <c r="M102" s="3" t="s">
        <v>24</v>
      </c>
      <c r="N102" s="3">
        <v>15143.349</v>
      </c>
      <c r="O102" s="4"/>
      <c r="P102" s="4"/>
      <c r="Q102" s="4"/>
      <c r="R102" s="5">
        <v>0</v>
      </c>
      <c r="S102">
        <v>0</v>
      </c>
      <c r="T102" t="b">
        <v>1</v>
      </c>
      <c r="U102">
        <v>-1</v>
      </c>
      <c r="V102" s="4">
        <v>1.1499999999999999</v>
      </c>
    </row>
    <row r="103" spans="1:22" hidden="1" x14ac:dyDescent="0.35">
      <c r="A103" t="s">
        <v>21</v>
      </c>
      <c r="B103">
        <v>2</v>
      </c>
      <c r="C103">
        <v>1</v>
      </c>
      <c r="D103">
        <v>2</v>
      </c>
      <c r="E103" t="s">
        <v>25</v>
      </c>
      <c r="F103">
        <v>50</v>
      </c>
      <c r="G103">
        <v>3</v>
      </c>
      <c r="H103">
        <v>20</v>
      </c>
      <c r="I103" t="s">
        <v>26</v>
      </c>
      <c r="J103" s="3">
        <v>149.363674</v>
      </c>
      <c r="K103" s="3" t="s">
        <v>24</v>
      </c>
      <c r="L103" s="3" t="s">
        <v>24</v>
      </c>
      <c r="M103" s="3" t="s">
        <v>24</v>
      </c>
      <c r="N103" s="3">
        <v>15143.349</v>
      </c>
      <c r="O103" s="4"/>
      <c r="P103" s="4"/>
      <c r="Q103" s="4"/>
      <c r="R103" s="5">
        <v>0</v>
      </c>
      <c r="S103">
        <v>0</v>
      </c>
      <c r="T103" t="b">
        <v>1</v>
      </c>
      <c r="U103">
        <v>-1</v>
      </c>
      <c r="V103" s="4">
        <v>2.63</v>
      </c>
    </row>
    <row r="104" spans="1:22" hidden="1" x14ac:dyDescent="0.35">
      <c r="A104" t="s">
        <v>21</v>
      </c>
      <c r="B104">
        <v>2</v>
      </c>
      <c r="C104">
        <v>1</v>
      </c>
      <c r="D104">
        <v>2</v>
      </c>
      <c r="E104" t="s">
        <v>25</v>
      </c>
      <c r="F104">
        <v>200</v>
      </c>
      <c r="G104">
        <v>1</v>
      </c>
      <c r="H104">
        <v>20</v>
      </c>
      <c r="I104" t="s">
        <v>26</v>
      </c>
      <c r="J104" s="3">
        <v>168.30756400000001</v>
      </c>
      <c r="K104" s="3" t="s">
        <v>24</v>
      </c>
      <c r="L104" s="3" t="s">
        <v>24</v>
      </c>
      <c r="M104" s="3" t="s">
        <v>24</v>
      </c>
      <c r="N104" s="3">
        <v>15143.349</v>
      </c>
      <c r="O104" s="4"/>
      <c r="P104" s="4"/>
      <c r="Q104" s="4"/>
      <c r="R104" s="5">
        <v>0</v>
      </c>
      <c r="S104">
        <v>0</v>
      </c>
      <c r="T104" t="b">
        <v>1</v>
      </c>
      <c r="U104">
        <v>-1</v>
      </c>
      <c r="V104" s="4">
        <v>1.18</v>
      </c>
    </row>
    <row r="105" spans="1:22" hidden="1" x14ac:dyDescent="0.35">
      <c r="A105" t="s">
        <v>21</v>
      </c>
      <c r="B105">
        <v>2</v>
      </c>
      <c r="C105">
        <v>1</v>
      </c>
      <c r="D105">
        <v>2</v>
      </c>
      <c r="E105" t="s">
        <v>25</v>
      </c>
      <c r="F105">
        <v>200</v>
      </c>
      <c r="G105">
        <v>3</v>
      </c>
      <c r="H105">
        <v>20</v>
      </c>
      <c r="I105" t="s">
        <v>26</v>
      </c>
      <c r="J105" s="3">
        <v>149.363674</v>
      </c>
      <c r="K105" s="3" t="s">
        <v>24</v>
      </c>
      <c r="L105" s="3" t="s">
        <v>24</v>
      </c>
      <c r="M105" s="3" t="s">
        <v>24</v>
      </c>
      <c r="N105" s="3">
        <v>15143.349</v>
      </c>
      <c r="O105" s="4"/>
      <c r="P105" s="4"/>
      <c r="Q105" s="4"/>
      <c r="R105" s="5">
        <v>0</v>
      </c>
      <c r="S105">
        <v>0</v>
      </c>
      <c r="T105" t="b">
        <v>1</v>
      </c>
      <c r="U105">
        <v>-1</v>
      </c>
      <c r="V105" s="4">
        <v>2.66</v>
      </c>
    </row>
    <row r="106" spans="1:22" hidden="1" x14ac:dyDescent="0.35">
      <c r="A106" t="s">
        <v>21</v>
      </c>
      <c r="B106">
        <v>2</v>
      </c>
      <c r="C106">
        <v>1</v>
      </c>
      <c r="D106">
        <v>5</v>
      </c>
      <c r="E106" t="s">
        <v>22</v>
      </c>
      <c r="F106">
        <v>50</v>
      </c>
      <c r="G106">
        <v>1</v>
      </c>
      <c r="H106">
        <v>20</v>
      </c>
      <c r="I106" t="s">
        <v>26</v>
      </c>
      <c r="J106" s="3">
        <v>114.489358</v>
      </c>
      <c r="K106" s="3">
        <v>15143.349</v>
      </c>
      <c r="L106" s="3">
        <v>16227.672</v>
      </c>
      <c r="M106" s="3">
        <v>15143.349</v>
      </c>
      <c r="N106" s="3">
        <v>15143.349</v>
      </c>
      <c r="O106" s="4">
        <v>0</v>
      </c>
      <c r="P106" s="4">
        <v>7.1604000000000001</v>
      </c>
      <c r="Q106" s="4">
        <v>0</v>
      </c>
      <c r="R106" s="5">
        <v>7.1999999999999998E-3</v>
      </c>
      <c r="S106">
        <v>31</v>
      </c>
      <c r="T106" t="b">
        <v>0</v>
      </c>
      <c r="U106">
        <v>8</v>
      </c>
      <c r="V106" s="4">
        <v>6.75</v>
      </c>
    </row>
    <row r="107" spans="1:22" hidden="1" x14ac:dyDescent="0.35">
      <c r="A107" t="s">
        <v>21</v>
      </c>
      <c r="B107">
        <v>2</v>
      </c>
      <c r="C107">
        <v>1</v>
      </c>
      <c r="D107">
        <v>5</v>
      </c>
      <c r="E107" t="s">
        <v>22</v>
      </c>
      <c r="F107">
        <v>50</v>
      </c>
      <c r="G107">
        <v>3</v>
      </c>
      <c r="H107">
        <v>20</v>
      </c>
      <c r="I107" t="s">
        <v>26</v>
      </c>
      <c r="J107" s="3">
        <v>114.489358</v>
      </c>
      <c r="K107" s="3">
        <v>15143.349</v>
      </c>
      <c r="L107" s="3">
        <v>16227.672</v>
      </c>
      <c r="M107" s="3">
        <v>15143.349</v>
      </c>
      <c r="N107" s="3">
        <v>15143.349</v>
      </c>
      <c r="O107" s="4">
        <v>0</v>
      </c>
      <c r="P107" s="4">
        <v>7.1604000000000001</v>
      </c>
      <c r="Q107" s="4">
        <v>0</v>
      </c>
      <c r="R107" s="5">
        <v>7.1999999999999998E-3</v>
      </c>
      <c r="S107">
        <v>31</v>
      </c>
      <c r="T107" t="b">
        <v>0</v>
      </c>
      <c r="U107">
        <v>8</v>
      </c>
      <c r="V107" s="4">
        <v>18.43</v>
      </c>
    </row>
    <row r="108" spans="1:22" hidden="1" x14ac:dyDescent="0.35">
      <c r="A108" t="s">
        <v>21</v>
      </c>
      <c r="B108">
        <v>2</v>
      </c>
      <c r="C108">
        <v>1</v>
      </c>
      <c r="D108">
        <v>5</v>
      </c>
      <c r="E108" t="s">
        <v>22</v>
      </c>
      <c r="F108">
        <v>200</v>
      </c>
      <c r="G108">
        <v>1</v>
      </c>
      <c r="H108">
        <v>20</v>
      </c>
      <c r="I108" t="s">
        <v>26</v>
      </c>
      <c r="J108" s="3">
        <v>114.489358</v>
      </c>
      <c r="K108" s="3">
        <v>15143.349</v>
      </c>
      <c r="L108" s="3">
        <v>16227.672</v>
      </c>
      <c r="M108" s="3">
        <v>15143.349</v>
      </c>
      <c r="N108" s="3">
        <v>15143.349</v>
      </c>
      <c r="O108" s="4">
        <v>0</v>
      </c>
      <c r="P108" s="4">
        <v>7.1604000000000001</v>
      </c>
      <c r="Q108" s="4">
        <v>0</v>
      </c>
      <c r="R108" s="5">
        <v>7.1999999999999998E-3</v>
      </c>
      <c r="S108">
        <v>31</v>
      </c>
      <c r="T108" t="b">
        <v>0</v>
      </c>
      <c r="U108">
        <v>8</v>
      </c>
      <c r="V108" s="4">
        <v>6.63</v>
      </c>
    </row>
    <row r="109" spans="1:22" hidden="1" x14ac:dyDescent="0.35">
      <c r="A109" t="s">
        <v>21</v>
      </c>
      <c r="B109">
        <v>2</v>
      </c>
      <c r="C109">
        <v>1</v>
      </c>
      <c r="D109">
        <v>5</v>
      </c>
      <c r="E109" t="s">
        <v>22</v>
      </c>
      <c r="F109">
        <v>200</v>
      </c>
      <c r="G109">
        <v>3</v>
      </c>
      <c r="H109">
        <v>20</v>
      </c>
      <c r="I109" t="s">
        <v>26</v>
      </c>
      <c r="J109" s="3">
        <v>114.489358</v>
      </c>
      <c r="K109" s="3">
        <v>15143.349</v>
      </c>
      <c r="L109" s="3">
        <v>16227.672</v>
      </c>
      <c r="M109" s="3">
        <v>15143.349</v>
      </c>
      <c r="N109" s="3">
        <v>15143.349</v>
      </c>
      <c r="O109" s="4">
        <v>0</v>
      </c>
      <c r="P109" s="4">
        <v>7.1604000000000001</v>
      </c>
      <c r="Q109" s="4">
        <v>0</v>
      </c>
      <c r="R109" s="5">
        <v>7.1999999999999998E-3</v>
      </c>
      <c r="S109">
        <v>31</v>
      </c>
      <c r="T109" t="b">
        <v>0</v>
      </c>
      <c r="U109">
        <v>8</v>
      </c>
      <c r="V109" s="4">
        <v>18.54</v>
      </c>
    </row>
    <row r="110" spans="1:22" hidden="1" x14ac:dyDescent="0.35">
      <c r="A110" t="s">
        <v>21</v>
      </c>
      <c r="B110">
        <v>2</v>
      </c>
      <c r="C110">
        <v>1</v>
      </c>
      <c r="D110">
        <v>5</v>
      </c>
      <c r="E110" t="s">
        <v>25</v>
      </c>
      <c r="F110">
        <v>50</v>
      </c>
      <c r="G110">
        <v>1</v>
      </c>
      <c r="H110">
        <v>20</v>
      </c>
      <c r="I110" t="s">
        <v>26</v>
      </c>
      <c r="J110" s="3">
        <v>422.30111299999999</v>
      </c>
      <c r="K110" s="3" t="s">
        <v>24</v>
      </c>
      <c r="L110" s="3" t="s">
        <v>24</v>
      </c>
      <c r="M110" s="3" t="s">
        <v>24</v>
      </c>
      <c r="N110" s="3">
        <v>15143.349</v>
      </c>
      <c r="O110" s="4"/>
      <c r="P110" s="4"/>
      <c r="Q110" s="4"/>
      <c r="R110" s="5">
        <v>0</v>
      </c>
      <c r="S110">
        <v>0</v>
      </c>
      <c r="T110" t="b">
        <v>1</v>
      </c>
      <c r="U110">
        <v>-1</v>
      </c>
      <c r="V110" s="4">
        <v>1.1499999999999999</v>
      </c>
    </row>
    <row r="111" spans="1:22" hidden="1" x14ac:dyDescent="0.35">
      <c r="A111" t="s">
        <v>21</v>
      </c>
      <c r="B111">
        <v>2</v>
      </c>
      <c r="C111">
        <v>1</v>
      </c>
      <c r="D111">
        <v>5</v>
      </c>
      <c r="E111" t="s">
        <v>25</v>
      </c>
      <c r="F111">
        <v>50</v>
      </c>
      <c r="G111">
        <v>3</v>
      </c>
      <c r="H111">
        <v>20</v>
      </c>
      <c r="I111" t="s">
        <v>26</v>
      </c>
      <c r="J111" s="3">
        <v>360.98161099999999</v>
      </c>
      <c r="K111" s="3">
        <v>17589.473999999998</v>
      </c>
      <c r="L111" s="3">
        <v>17589.473999999998</v>
      </c>
      <c r="M111" s="3">
        <v>17589.473999999998</v>
      </c>
      <c r="N111" s="3">
        <v>15143.349</v>
      </c>
      <c r="O111" s="4">
        <v>16.153099999999998</v>
      </c>
      <c r="P111" s="4">
        <v>16.153099999999998</v>
      </c>
      <c r="Q111" s="4">
        <v>16.153099999999998</v>
      </c>
      <c r="R111" s="5">
        <v>1E-4</v>
      </c>
      <c r="S111">
        <v>1</v>
      </c>
      <c r="T111" t="b">
        <v>0</v>
      </c>
      <c r="U111">
        <v>1</v>
      </c>
      <c r="V111" s="4">
        <v>2.65</v>
      </c>
    </row>
    <row r="112" spans="1:22" hidden="1" x14ac:dyDescent="0.35">
      <c r="A112" t="s">
        <v>21</v>
      </c>
      <c r="B112">
        <v>2</v>
      </c>
      <c r="C112">
        <v>1</v>
      </c>
      <c r="D112">
        <v>5</v>
      </c>
      <c r="E112" t="s">
        <v>25</v>
      </c>
      <c r="F112">
        <v>200</v>
      </c>
      <c r="G112">
        <v>1</v>
      </c>
      <c r="H112">
        <v>20</v>
      </c>
      <c r="I112" t="s">
        <v>26</v>
      </c>
      <c r="J112" s="3">
        <v>422.30111299999999</v>
      </c>
      <c r="K112" s="3" t="s">
        <v>24</v>
      </c>
      <c r="L112" s="3" t="s">
        <v>24</v>
      </c>
      <c r="M112" s="3" t="s">
        <v>24</v>
      </c>
      <c r="N112" s="3">
        <v>15143.349</v>
      </c>
      <c r="O112" s="4"/>
      <c r="P112" s="4"/>
      <c r="Q112" s="4"/>
      <c r="R112" s="5">
        <v>0</v>
      </c>
      <c r="S112">
        <v>0</v>
      </c>
      <c r="T112" t="b">
        <v>1</v>
      </c>
      <c r="U112">
        <v>-1</v>
      </c>
      <c r="V112" s="4">
        <v>1.22</v>
      </c>
    </row>
    <row r="113" spans="1:22" hidden="1" x14ac:dyDescent="0.35">
      <c r="A113" t="s">
        <v>21</v>
      </c>
      <c r="B113">
        <v>2</v>
      </c>
      <c r="C113">
        <v>1</v>
      </c>
      <c r="D113">
        <v>5</v>
      </c>
      <c r="E113" t="s">
        <v>25</v>
      </c>
      <c r="F113">
        <v>200</v>
      </c>
      <c r="G113">
        <v>3</v>
      </c>
      <c r="H113">
        <v>20</v>
      </c>
      <c r="I113" t="s">
        <v>26</v>
      </c>
      <c r="J113" s="3">
        <v>360.98161099999999</v>
      </c>
      <c r="K113" s="3">
        <v>17589.473999999998</v>
      </c>
      <c r="L113" s="3">
        <v>17589.473999999998</v>
      </c>
      <c r="M113" s="3">
        <v>17589.473999999998</v>
      </c>
      <c r="N113" s="3">
        <v>15143.349</v>
      </c>
      <c r="O113" s="4">
        <v>16.153099999999998</v>
      </c>
      <c r="P113" s="4">
        <v>16.153099999999998</v>
      </c>
      <c r="Q113" s="4">
        <v>16.153099999999998</v>
      </c>
      <c r="R113" s="5">
        <v>1E-4</v>
      </c>
      <c r="S113">
        <v>1</v>
      </c>
      <c r="T113" t="b">
        <v>0</v>
      </c>
      <c r="U113">
        <v>1</v>
      </c>
      <c r="V113" s="4">
        <v>2.67</v>
      </c>
    </row>
    <row r="114" spans="1:22" hidden="1" x14ac:dyDescent="0.35">
      <c r="A114" t="s">
        <v>21</v>
      </c>
      <c r="B114">
        <v>2</v>
      </c>
      <c r="C114">
        <v>1</v>
      </c>
      <c r="D114">
        <v>10</v>
      </c>
      <c r="E114" t="s">
        <v>22</v>
      </c>
      <c r="F114">
        <v>50</v>
      </c>
      <c r="G114">
        <v>1</v>
      </c>
      <c r="H114">
        <v>20</v>
      </c>
      <c r="I114" t="s">
        <v>26</v>
      </c>
      <c r="J114" s="3">
        <v>224.06116499999999</v>
      </c>
      <c r="K114" s="3">
        <v>15413.79</v>
      </c>
      <c r="L114" s="3">
        <v>17589.473999999998</v>
      </c>
      <c r="M114" s="3">
        <v>15143.349</v>
      </c>
      <c r="N114" s="3">
        <v>15143.349</v>
      </c>
      <c r="O114" s="4">
        <v>1.7859</v>
      </c>
      <c r="P114" s="4">
        <v>16.153099999999998</v>
      </c>
      <c r="Q114" s="4">
        <v>0</v>
      </c>
      <c r="R114" s="5">
        <v>7.1999999999999998E-3</v>
      </c>
      <c r="S114">
        <v>30</v>
      </c>
      <c r="T114" t="b">
        <v>0</v>
      </c>
      <c r="U114">
        <v>14</v>
      </c>
      <c r="V114" s="4">
        <v>6.08</v>
      </c>
    </row>
    <row r="115" spans="1:22" hidden="1" x14ac:dyDescent="0.35">
      <c r="A115" t="s">
        <v>21</v>
      </c>
      <c r="B115">
        <v>2</v>
      </c>
      <c r="C115">
        <v>1</v>
      </c>
      <c r="D115">
        <v>10</v>
      </c>
      <c r="E115" t="s">
        <v>22</v>
      </c>
      <c r="F115">
        <v>50</v>
      </c>
      <c r="G115">
        <v>3</v>
      </c>
      <c r="H115">
        <v>20</v>
      </c>
      <c r="I115" t="s">
        <v>26</v>
      </c>
      <c r="J115" s="3">
        <v>224.06116499999999</v>
      </c>
      <c r="K115" s="3">
        <v>15413.79</v>
      </c>
      <c r="L115" s="3">
        <v>17589.473999999998</v>
      </c>
      <c r="M115" s="3">
        <v>15143.349</v>
      </c>
      <c r="N115" s="3">
        <v>15143.349</v>
      </c>
      <c r="O115" s="4">
        <v>1.7859</v>
      </c>
      <c r="P115" s="4">
        <v>16.153099999999998</v>
      </c>
      <c r="Q115" s="4">
        <v>0</v>
      </c>
      <c r="R115" s="5">
        <v>7.1999999999999998E-3</v>
      </c>
      <c r="S115">
        <v>30</v>
      </c>
      <c r="T115" t="b">
        <v>0</v>
      </c>
      <c r="U115">
        <v>14</v>
      </c>
      <c r="V115" s="4">
        <v>18.41</v>
      </c>
    </row>
    <row r="116" spans="1:22" hidden="1" x14ac:dyDescent="0.35">
      <c r="A116" t="s">
        <v>21</v>
      </c>
      <c r="B116">
        <v>2</v>
      </c>
      <c r="C116">
        <v>1</v>
      </c>
      <c r="D116">
        <v>10</v>
      </c>
      <c r="E116" t="s">
        <v>22</v>
      </c>
      <c r="F116">
        <v>200</v>
      </c>
      <c r="G116">
        <v>1</v>
      </c>
      <c r="H116">
        <v>20</v>
      </c>
      <c r="I116" t="s">
        <v>26</v>
      </c>
      <c r="J116" s="3">
        <v>224.06116499999999</v>
      </c>
      <c r="K116" s="3">
        <v>15413.79</v>
      </c>
      <c r="L116" s="3">
        <v>17589.473999999998</v>
      </c>
      <c r="M116" s="3">
        <v>15143.349</v>
      </c>
      <c r="N116" s="3">
        <v>15143.349</v>
      </c>
      <c r="O116" s="4">
        <v>1.7859</v>
      </c>
      <c r="P116" s="4">
        <v>16.153099999999998</v>
      </c>
      <c r="Q116" s="4">
        <v>0</v>
      </c>
      <c r="R116" s="5">
        <v>7.1999999999999998E-3</v>
      </c>
      <c r="S116">
        <v>30</v>
      </c>
      <c r="T116" t="b">
        <v>0</v>
      </c>
      <c r="U116">
        <v>14</v>
      </c>
      <c r="V116" s="4">
        <v>5.98</v>
      </c>
    </row>
    <row r="117" spans="1:22" hidden="1" x14ac:dyDescent="0.35">
      <c r="A117" t="s">
        <v>21</v>
      </c>
      <c r="B117">
        <v>2</v>
      </c>
      <c r="C117">
        <v>1</v>
      </c>
      <c r="D117">
        <v>10</v>
      </c>
      <c r="E117" t="s">
        <v>22</v>
      </c>
      <c r="F117">
        <v>200</v>
      </c>
      <c r="G117">
        <v>3</v>
      </c>
      <c r="H117">
        <v>20</v>
      </c>
      <c r="I117" t="s">
        <v>26</v>
      </c>
      <c r="J117" s="3">
        <v>224.06116499999999</v>
      </c>
      <c r="K117" s="3">
        <v>15413.79</v>
      </c>
      <c r="L117" s="3">
        <v>17589.473999999998</v>
      </c>
      <c r="M117" s="3">
        <v>15143.349</v>
      </c>
      <c r="N117" s="3">
        <v>15143.349</v>
      </c>
      <c r="O117" s="4">
        <v>1.7859</v>
      </c>
      <c r="P117" s="4">
        <v>16.153099999999998</v>
      </c>
      <c r="Q117" s="4">
        <v>0</v>
      </c>
      <c r="R117" s="5">
        <v>7.1999999999999998E-3</v>
      </c>
      <c r="S117">
        <v>30</v>
      </c>
      <c r="T117" t="b">
        <v>0</v>
      </c>
      <c r="U117">
        <v>14</v>
      </c>
      <c r="V117" s="4">
        <v>18.21</v>
      </c>
    </row>
    <row r="118" spans="1:22" hidden="1" x14ac:dyDescent="0.35">
      <c r="A118" t="s">
        <v>21</v>
      </c>
      <c r="B118">
        <v>2</v>
      </c>
      <c r="C118">
        <v>1</v>
      </c>
      <c r="D118">
        <v>10</v>
      </c>
      <c r="E118" t="s">
        <v>25</v>
      </c>
      <c r="F118">
        <v>50</v>
      </c>
      <c r="G118">
        <v>1</v>
      </c>
      <c r="H118">
        <v>20</v>
      </c>
      <c r="I118" t="s">
        <v>26</v>
      </c>
      <c r="J118" s="3">
        <v>849.70975299999998</v>
      </c>
      <c r="K118" s="3" t="s">
        <v>24</v>
      </c>
      <c r="L118" s="3" t="s">
        <v>24</v>
      </c>
      <c r="M118" s="3" t="s">
        <v>24</v>
      </c>
      <c r="N118" s="3">
        <v>15143.349</v>
      </c>
      <c r="O118" s="4"/>
      <c r="P118" s="4"/>
      <c r="Q118" s="4"/>
      <c r="R118" s="5">
        <v>0</v>
      </c>
      <c r="S118">
        <v>0</v>
      </c>
      <c r="T118" t="b">
        <v>1</v>
      </c>
      <c r="U118">
        <v>-1</v>
      </c>
      <c r="V118" s="4">
        <v>1.1499999999999999</v>
      </c>
    </row>
    <row r="119" spans="1:22" hidden="1" x14ac:dyDescent="0.35">
      <c r="A119" t="s">
        <v>21</v>
      </c>
      <c r="B119">
        <v>2</v>
      </c>
      <c r="C119">
        <v>1</v>
      </c>
      <c r="D119">
        <v>10</v>
      </c>
      <c r="E119" t="s">
        <v>25</v>
      </c>
      <c r="F119">
        <v>50</v>
      </c>
      <c r="G119">
        <v>3</v>
      </c>
      <c r="H119">
        <v>20</v>
      </c>
      <c r="I119" t="s">
        <v>26</v>
      </c>
      <c r="J119" s="3">
        <v>710.797954</v>
      </c>
      <c r="K119" s="3">
        <v>16789.739000000001</v>
      </c>
      <c r="L119" s="3">
        <v>17456.098000000002</v>
      </c>
      <c r="M119" s="3">
        <v>16789.739000000001</v>
      </c>
      <c r="N119" s="3">
        <v>15143.349</v>
      </c>
      <c r="O119" s="4">
        <v>10.872</v>
      </c>
      <c r="P119" s="4">
        <v>15.272399999999999</v>
      </c>
      <c r="Q119" s="4">
        <v>10.872</v>
      </c>
      <c r="R119" s="5">
        <v>2.0000000000000001E-4</v>
      </c>
      <c r="S119">
        <v>2</v>
      </c>
      <c r="T119" t="b">
        <v>0</v>
      </c>
      <c r="U119">
        <v>2</v>
      </c>
      <c r="V119" s="4">
        <v>2.66</v>
      </c>
    </row>
    <row r="120" spans="1:22" hidden="1" x14ac:dyDescent="0.35">
      <c r="A120" t="s">
        <v>21</v>
      </c>
      <c r="B120">
        <v>2</v>
      </c>
      <c r="C120">
        <v>1</v>
      </c>
      <c r="D120">
        <v>10</v>
      </c>
      <c r="E120" t="s">
        <v>25</v>
      </c>
      <c r="F120">
        <v>200</v>
      </c>
      <c r="G120">
        <v>1</v>
      </c>
      <c r="H120">
        <v>20</v>
      </c>
      <c r="I120" t="s">
        <v>26</v>
      </c>
      <c r="J120" s="3">
        <v>849.70975299999998</v>
      </c>
      <c r="K120" s="3" t="s">
        <v>24</v>
      </c>
      <c r="L120" s="3" t="s">
        <v>24</v>
      </c>
      <c r="M120" s="3" t="s">
        <v>24</v>
      </c>
      <c r="N120" s="3">
        <v>15143.349</v>
      </c>
      <c r="O120" s="4"/>
      <c r="P120" s="4"/>
      <c r="Q120" s="4"/>
      <c r="R120" s="5">
        <v>0</v>
      </c>
      <c r="S120">
        <v>0</v>
      </c>
      <c r="T120" t="b">
        <v>1</v>
      </c>
      <c r="U120">
        <v>-1</v>
      </c>
      <c r="V120" s="4">
        <v>1.19</v>
      </c>
    </row>
    <row r="121" spans="1:22" hidden="1" x14ac:dyDescent="0.35">
      <c r="A121" t="s">
        <v>21</v>
      </c>
      <c r="B121">
        <v>2</v>
      </c>
      <c r="C121">
        <v>1</v>
      </c>
      <c r="D121">
        <v>10</v>
      </c>
      <c r="E121" t="s">
        <v>25</v>
      </c>
      <c r="F121">
        <v>200</v>
      </c>
      <c r="G121">
        <v>3</v>
      </c>
      <c r="H121">
        <v>20</v>
      </c>
      <c r="I121" t="s">
        <v>26</v>
      </c>
      <c r="J121" s="3">
        <v>710.797954</v>
      </c>
      <c r="K121" s="3">
        <v>16789.739000000001</v>
      </c>
      <c r="L121" s="3">
        <v>17456.098000000002</v>
      </c>
      <c r="M121" s="3">
        <v>16789.739000000001</v>
      </c>
      <c r="N121" s="3">
        <v>15143.349</v>
      </c>
      <c r="O121" s="4">
        <v>10.872</v>
      </c>
      <c r="P121" s="4">
        <v>15.272399999999999</v>
      </c>
      <c r="Q121" s="4">
        <v>10.872</v>
      </c>
      <c r="R121" s="5">
        <v>2.0000000000000001E-4</v>
      </c>
      <c r="S121">
        <v>2</v>
      </c>
      <c r="T121" t="b">
        <v>0</v>
      </c>
      <c r="U121">
        <v>2</v>
      </c>
      <c r="V121" s="4">
        <v>2.67</v>
      </c>
    </row>
    <row r="122" spans="1:22" hidden="1" x14ac:dyDescent="0.35">
      <c r="A122" t="s">
        <v>21</v>
      </c>
      <c r="B122">
        <v>2</v>
      </c>
      <c r="C122">
        <v>2</v>
      </c>
      <c r="D122">
        <v>2</v>
      </c>
      <c r="E122" t="s">
        <v>22</v>
      </c>
      <c r="F122">
        <v>50</v>
      </c>
      <c r="G122">
        <v>1</v>
      </c>
      <c r="H122">
        <v>20</v>
      </c>
      <c r="I122" t="s">
        <v>26</v>
      </c>
      <c r="J122" s="3">
        <v>52.400373999999999</v>
      </c>
      <c r="K122" s="3">
        <v>15143.349</v>
      </c>
      <c r="L122" s="3">
        <v>16623.59</v>
      </c>
      <c r="M122" s="3">
        <v>15143.349</v>
      </c>
      <c r="N122" s="3">
        <v>15143.349</v>
      </c>
      <c r="O122" s="4">
        <v>0</v>
      </c>
      <c r="P122" s="4">
        <v>9.7749000000000006</v>
      </c>
      <c r="Q122" s="4">
        <v>0</v>
      </c>
      <c r="R122" s="5">
        <v>3.0000000000000001E-3</v>
      </c>
      <c r="S122">
        <v>20</v>
      </c>
      <c r="T122" t="b">
        <v>0</v>
      </c>
      <c r="U122">
        <v>6</v>
      </c>
      <c r="V122" s="4">
        <v>11.9</v>
      </c>
    </row>
    <row r="123" spans="1:22" hidden="1" x14ac:dyDescent="0.35">
      <c r="A123" t="s">
        <v>21</v>
      </c>
      <c r="B123">
        <v>2</v>
      </c>
      <c r="C123">
        <v>2</v>
      </c>
      <c r="D123">
        <v>2</v>
      </c>
      <c r="E123" t="s">
        <v>22</v>
      </c>
      <c r="F123">
        <v>50</v>
      </c>
      <c r="G123">
        <v>3</v>
      </c>
      <c r="H123">
        <v>20</v>
      </c>
      <c r="I123" t="s">
        <v>26</v>
      </c>
      <c r="J123" s="3">
        <v>49.022632000000002</v>
      </c>
      <c r="K123" s="3">
        <v>15427.937</v>
      </c>
      <c r="L123" s="3">
        <v>16623.59</v>
      </c>
      <c r="M123" s="3">
        <v>15413.79</v>
      </c>
      <c r="N123" s="3">
        <v>15143.349</v>
      </c>
      <c r="O123" s="4">
        <v>1.8793</v>
      </c>
      <c r="P123" s="4">
        <v>9.7749000000000006</v>
      </c>
      <c r="Q123" s="4">
        <v>1.7859</v>
      </c>
      <c r="R123" s="5">
        <v>6.4999999999999997E-3</v>
      </c>
      <c r="S123">
        <v>29</v>
      </c>
      <c r="T123" t="b">
        <v>0</v>
      </c>
      <c r="U123">
        <v>25</v>
      </c>
      <c r="V123" s="4">
        <v>30.16</v>
      </c>
    </row>
    <row r="124" spans="1:22" hidden="1" x14ac:dyDescent="0.35">
      <c r="A124" t="s">
        <v>21</v>
      </c>
      <c r="B124">
        <v>2</v>
      </c>
      <c r="C124">
        <v>2</v>
      </c>
      <c r="D124">
        <v>2</v>
      </c>
      <c r="E124" t="s">
        <v>22</v>
      </c>
      <c r="F124">
        <v>200</v>
      </c>
      <c r="G124">
        <v>1</v>
      </c>
      <c r="H124">
        <v>20</v>
      </c>
      <c r="I124" t="s">
        <v>26</v>
      </c>
      <c r="J124" s="3">
        <v>52.400373999999999</v>
      </c>
      <c r="K124" s="3">
        <v>15143.349</v>
      </c>
      <c r="L124" s="3">
        <v>16623.59</v>
      </c>
      <c r="M124" s="3">
        <v>15143.349</v>
      </c>
      <c r="N124" s="3">
        <v>15143.349</v>
      </c>
      <c r="O124" s="4">
        <v>0</v>
      </c>
      <c r="P124" s="4">
        <v>9.7749000000000006</v>
      </c>
      <c r="Q124" s="4">
        <v>0</v>
      </c>
      <c r="R124" s="5">
        <v>3.0000000000000001E-3</v>
      </c>
      <c r="S124">
        <v>20</v>
      </c>
      <c r="T124" t="b">
        <v>0</v>
      </c>
      <c r="U124">
        <v>6</v>
      </c>
      <c r="V124" s="4">
        <v>11.24</v>
      </c>
    </row>
    <row r="125" spans="1:22" hidden="1" x14ac:dyDescent="0.35">
      <c r="A125" t="s">
        <v>21</v>
      </c>
      <c r="B125">
        <v>2</v>
      </c>
      <c r="C125">
        <v>2</v>
      </c>
      <c r="D125">
        <v>2</v>
      </c>
      <c r="E125" t="s">
        <v>22</v>
      </c>
      <c r="F125">
        <v>200</v>
      </c>
      <c r="G125">
        <v>3</v>
      </c>
      <c r="H125">
        <v>20</v>
      </c>
      <c r="I125" t="s">
        <v>26</v>
      </c>
      <c r="J125" s="3">
        <v>49.022632000000002</v>
      </c>
      <c r="K125" s="3">
        <v>15427.937</v>
      </c>
      <c r="L125" s="3">
        <v>16623.59</v>
      </c>
      <c r="M125" s="3">
        <v>15413.79</v>
      </c>
      <c r="N125" s="3">
        <v>15143.349</v>
      </c>
      <c r="O125" s="4">
        <v>1.8793</v>
      </c>
      <c r="P125" s="4">
        <v>9.7749000000000006</v>
      </c>
      <c r="Q125" s="4">
        <v>1.7859</v>
      </c>
      <c r="R125" s="5">
        <v>6.4999999999999997E-3</v>
      </c>
      <c r="S125">
        <v>29</v>
      </c>
      <c r="T125" t="b">
        <v>0</v>
      </c>
      <c r="U125">
        <v>25</v>
      </c>
      <c r="V125" s="4">
        <v>30.18</v>
      </c>
    </row>
    <row r="126" spans="1:22" hidden="1" x14ac:dyDescent="0.35">
      <c r="A126" t="s">
        <v>21</v>
      </c>
      <c r="B126">
        <v>2</v>
      </c>
      <c r="C126">
        <v>2</v>
      </c>
      <c r="D126">
        <v>2</v>
      </c>
      <c r="E126" t="s">
        <v>25</v>
      </c>
      <c r="F126">
        <v>50</v>
      </c>
      <c r="G126">
        <v>1</v>
      </c>
      <c r="H126">
        <v>20</v>
      </c>
      <c r="I126" t="s">
        <v>26</v>
      </c>
      <c r="J126" s="3">
        <v>148.53752399999999</v>
      </c>
      <c r="K126" s="3">
        <v>16227.672</v>
      </c>
      <c r="L126" s="3">
        <v>16227.672</v>
      </c>
      <c r="M126" s="3">
        <v>16227.672</v>
      </c>
      <c r="N126" s="3">
        <v>15143.349</v>
      </c>
      <c r="O126" s="4">
        <v>7.1604000000000001</v>
      </c>
      <c r="P126" s="4">
        <v>7.1604000000000001</v>
      </c>
      <c r="Q126" s="4">
        <v>7.1604000000000001</v>
      </c>
      <c r="R126" s="5">
        <v>2.0000000000000001E-4</v>
      </c>
      <c r="S126">
        <v>2</v>
      </c>
      <c r="T126" t="b">
        <v>0</v>
      </c>
      <c r="U126">
        <v>1</v>
      </c>
      <c r="V126" s="4">
        <v>2.02</v>
      </c>
    </row>
    <row r="127" spans="1:22" hidden="1" x14ac:dyDescent="0.35">
      <c r="A127" t="s">
        <v>21</v>
      </c>
      <c r="B127">
        <v>2</v>
      </c>
      <c r="C127">
        <v>2</v>
      </c>
      <c r="D127">
        <v>2</v>
      </c>
      <c r="E127" t="s">
        <v>25</v>
      </c>
      <c r="F127">
        <v>50</v>
      </c>
      <c r="G127">
        <v>3</v>
      </c>
      <c r="H127">
        <v>20</v>
      </c>
      <c r="I127" t="s">
        <v>26</v>
      </c>
      <c r="J127" s="3">
        <v>124.718711</v>
      </c>
      <c r="K127" s="3">
        <v>17456.098000000002</v>
      </c>
      <c r="L127" s="3">
        <v>17456.098000000002</v>
      </c>
      <c r="M127" s="3">
        <v>17456.098000000002</v>
      </c>
      <c r="N127" s="3">
        <v>15143.349</v>
      </c>
      <c r="O127" s="4">
        <v>15.272399999999999</v>
      </c>
      <c r="P127" s="4">
        <v>15.272399999999999</v>
      </c>
      <c r="Q127" s="4">
        <v>15.272399999999999</v>
      </c>
      <c r="R127" s="5">
        <v>1E-4</v>
      </c>
      <c r="S127">
        <v>1</v>
      </c>
      <c r="T127" t="b">
        <v>0</v>
      </c>
      <c r="U127">
        <v>1</v>
      </c>
      <c r="V127" s="4">
        <v>4.68</v>
      </c>
    </row>
    <row r="128" spans="1:22" hidden="1" x14ac:dyDescent="0.35">
      <c r="A128" t="s">
        <v>21</v>
      </c>
      <c r="B128">
        <v>2</v>
      </c>
      <c r="C128">
        <v>2</v>
      </c>
      <c r="D128">
        <v>2</v>
      </c>
      <c r="E128" t="s">
        <v>25</v>
      </c>
      <c r="F128">
        <v>200</v>
      </c>
      <c r="G128">
        <v>1</v>
      </c>
      <c r="H128">
        <v>20</v>
      </c>
      <c r="I128" t="s">
        <v>26</v>
      </c>
      <c r="J128" s="3">
        <v>148.53752399999999</v>
      </c>
      <c r="K128" s="3">
        <v>16227.672</v>
      </c>
      <c r="L128" s="3">
        <v>16227.672</v>
      </c>
      <c r="M128" s="3">
        <v>16227.672</v>
      </c>
      <c r="N128" s="3">
        <v>15143.349</v>
      </c>
      <c r="O128" s="4">
        <v>7.1604000000000001</v>
      </c>
      <c r="P128" s="4">
        <v>7.1604000000000001</v>
      </c>
      <c r="Q128" s="4">
        <v>7.1604000000000001</v>
      </c>
      <c r="R128" s="5">
        <v>2.0000000000000001E-4</v>
      </c>
      <c r="S128">
        <v>2</v>
      </c>
      <c r="T128" t="b">
        <v>0</v>
      </c>
      <c r="U128">
        <v>1</v>
      </c>
      <c r="V128" s="4">
        <v>1.93</v>
      </c>
    </row>
    <row r="129" spans="1:22" hidden="1" x14ac:dyDescent="0.35">
      <c r="A129" t="s">
        <v>21</v>
      </c>
      <c r="B129">
        <v>2</v>
      </c>
      <c r="C129">
        <v>2</v>
      </c>
      <c r="D129">
        <v>2</v>
      </c>
      <c r="E129" t="s">
        <v>25</v>
      </c>
      <c r="F129">
        <v>200</v>
      </c>
      <c r="G129">
        <v>3</v>
      </c>
      <c r="H129">
        <v>20</v>
      </c>
      <c r="I129" t="s">
        <v>26</v>
      </c>
      <c r="J129" s="3">
        <v>124.718711</v>
      </c>
      <c r="K129" s="3">
        <v>17456.098000000002</v>
      </c>
      <c r="L129" s="3">
        <v>17456.098000000002</v>
      </c>
      <c r="M129" s="3">
        <v>17456.098000000002</v>
      </c>
      <c r="N129" s="3">
        <v>15143.349</v>
      </c>
      <c r="O129" s="4">
        <v>15.272399999999999</v>
      </c>
      <c r="P129" s="4">
        <v>15.272399999999999</v>
      </c>
      <c r="Q129" s="4">
        <v>15.272399999999999</v>
      </c>
      <c r="R129" s="5">
        <v>1E-4</v>
      </c>
      <c r="S129">
        <v>1</v>
      </c>
      <c r="T129" t="b">
        <v>0</v>
      </c>
      <c r="U129">
        <v>1</v>
      </c>
      <c r="V129" s="4">
        <v>4.7</v>
      </c>
    </row>
    <row r="130" spans="1:22" hidden="1" x14ac:dyDescent="0.35">
      <c r="A130" t="s">
        <v>21</v>
      </c>
      <c r="B130">
        <v>2</v>
      </c>
      <c r="C130">
        <v>2</v>
      </c>
      <c r="D130">
        <v>5</v>
      </c>
      <c r="E130" t="s">
        <v>22</v>
      </c>
      <c r="F130">
        <v>50</v>
      </c>
      <c r="G130">
        <v>1</v>
      </c>
      <c r="H130">
        <v>20</v>
      </c>
      <c r="I130" t="s">
        <v>26</v>
      </c>
      <c r="J130" s="3">
        <v>118.010293</v>
      </c>
      <c r="K130" s="3">
        <v>15427.937</v>
      </c>
      <c r="L130" s="3">
        <v>15943.084000000001</v>
      </c>
      <c r="M130" s="3">
        <v>15143.349</v>
      </c>
      <c r="N130" s="3">
        <v>15143.349</v>
      </c>
      <c r="O130" s="4">
        <v>1.8793</v>
      </c>
      <c r="P130" s="4">
        <v>5.2811000000000003</v>
      </c>
      <c r="Q130" s="4">
        <v>0</v>
      </c>
      <c r="R130" s="5">
        <v>4.1999999999999997E-3</v>
      </c>
      <c r="S130">
        <v>25</v>
      </c>
      <c r="T130" t="b">
        <v>0</v>
      </c>
      <c r="U130">
        <v>15</v>
      </c>
      <c r="V130" s="4">
        <v>11.33</v>
      </c>
    </row>
    <row r="131" spans="1:22" hidden="1" x14ac:dyDescent="0.35">
      <c r="A131" t="s">
        <v>21</v>
      </c>
      <c r="B131">
        <v>2</v>
      </c>
      <c r="C131">
        <v>2</v>
      </c>
      <c r="D131">
        <v>5</v>
      </c>
      <c r="E131" t="s">
        <v>22</v>
      </c>
      <c r="F131">
        <v>50</v>
      </c>
      <c r="G131">
        <v>3</v>
      </c>
      <c r="H131">
        <v>20</v>
      </c>
      <c r="I131" t="s">
        <v>26</v>
      </c>
      <c r="J131" s="3">
        <v>75.876396999999997</v>
      </c>
      <c r="K131" s="3">
        <v>15143.349</v>
      </c>
      <c r="L131" s="3">
        <v>17589.473999999998</v>
      </c>
      <c r="M131" s="3">
        <v>15143.349</v>
      </c>
      <c r="N131" s="3">
        <v>15143.349</v>
      </c>
      <c r="O131" s="4">
        <v>0</v>
      </c>
      <c r="P131" s="4">
        <v>16.153099999999998</v>
      </c>
      <c r="Q131" s="4">
        <v>0</v>
      </c>
      <c r="R131" s="5">
        <v>3.5999999999999997E-2</v>
      </c>
      <c r="S131">
        <v>36</v>
      </c>
      <c r="T131" t="b">
        <v>0</v>
      </c>
      <c r="U131">
        <v>19</v>
      </c>
      <c r="V131" s="4">
        <v>33.630000000000003</v>
      </c>
    </row>
    <row r="132" spans="1:22" hidden="1" x14ac:dyDescent="0.35">
      <c r="A132" t="s">
        <v>21</v>
      </c>
      <c r="B132">
        <v>2</v>
      </c>
      <c r="C132">
        <v>2</v>
      </c>
      <c r="D132">
        <v>5</v>
      </c>
      <c r="E132" t="s">
        <v>22</v>
      </c>
      <c r="F132">
        <v>200</v>
      </c>
      <c r="G132">
        <v>1</v>
      </c>
      <c r="H132">
        <v>20</v>
      </c>
      <c r="I132" t="s">
        <v>26</v>
      </c>
      <c r="J132" s="3">
        <v>118.010293</v>
      </c>
      <c r="K132" s="3">
        <v>15427.937</v>
      </c>
      <c r="L132" s="3">
        <v>15943.084000000001</v>
      </c>
      <c r="M132" s="3">
        <v>15143.349</v>
      </c>
      <c r="N132" s="3">
        <v>15143.349</v>
      </c>
      <c r="O132" s="4">
        <v>1.8793</v>
      </c>
      <c r="P132" s="4">
        <v>5.2811000000000003</v>
      </c>
      <c r="Q132" s="4">
        <v>0</v>
      </c>
      <c r="R132" s="5">
        <v>4.1999999999999997E-3</v>
      </c>
      <c r="S132">
        <v>25</v>
      </c>
      <c r="T132" t="b">
        <v>0</v>
      </c>
      <c r="U132">
        <v>15</v>
      </c>
      <c r="V132" s="4">
        <v>11.24</v>
      </c>
    </row>
    <row r="133" spans="1:22" hidden="1" x14ac:dyDescent="0.35">
      <c r="A133" t="s">
        <v>21</v>
      </c>
      <c r="B133">
        <v>2</v>
      </c>
      <c r="C133">
        <v>2</v>
      </c>
      <c r="D133">
        <v>5</v>
      </c>
      <c r="E133" t="s">
        <v>22</v>
      </c>
      <c r="F133">
        <v>200</v>
      </c>
      <c r="G133">
        <v>3</v>
      </c>
      <c r="H133">
        <v>20</v>
      </c>
      <c r="I133" t="s">
        <v>26</v>
      </c>
      <c r="J133" s="3">
        <v>75.876396999999997</v>
      </c>
      <c r="K133" s="3">
        <v>15143.349</v>
      </c>
      <c r="L133" s="3">
        <v>17589.473999999998</v>
      </c>
      <c r="M133" s="3">
        <v>15143.349</v>
      </c>
      <c r="N133" s="3">
        <v>15143.349</v>
      </c>
      <c r="O133" s="4">
        <v>0</v>
      </c>
      <c r="P133" s="4">
        <v>16.153099999999998</v>
      </c>
      <c r="Q133" s="4">
        <v>0</v>
      </c>
      <c r="R133" s="5">
        <v>3.5999999999999997E-2</v>
      </c>
      <c r="S133">
        <v>36</v>
      </c>
      <c r="T133" t="b">
        <v>0</v>
      </c>
      <c r="U133">
        <v>19</v>
      </c>
      <c r="V133" s="4">
        <v>33.61</v>
      </c>
    </row>
    <row r="134" spans="1:22" hidden="1" x14ac:dyDescent="0.35">
      <c r="A134" t="s">
        <v>21</v>
      </c>
      <c r="B134">
        <v>2</v>
      </c>
      <c r="C134">
        <v>2</v>
      </c>
      <c r="D134">
        <v>5</v>
      </c>
      <c r="E134" t="s">
        <v>25</v>
      </c>
      <c r="F134">
        <v>50</v>
      </c>
      <c r="G134">
        <v>1</v>
      </c>
      <c r="H134">
        <v>20</v>
      </c>
      <c r="I134" t="s">
        <v>26</v>
      </c>
      <c r="J134" s="3">
        <v>356.28362499999997</v>
      </c>
      <c r="K134" s="3" t="s">
        <v>24</v>
      </c>
      <c r="L134" s="3" t="s">
        <v>24</v>
      </c>
      <c r="M134" s="3" t="s">
        <v>24</v>
      </c>
      <c r="N134" s="3">
        <v>15143.349</v>
      </c>
      <c r="O134" s="4"/>
      <c r="P134" s="4"/>
      <c r="Q134" s="4"/>
      <c r="R134" s="5">
        <v>0</v>
      </c>
      <c r="S134">
        <v>0</v>
      </c>
      <c r="T134" t="b">
        <v>1</v>
      </c>
      <c r="U134">
        <v>-1</v>
      </c>
      <c r="V134" s="4">
        <v>1.97</v>
      </c>
    </row>
    <row r="135" spans="1:22" hidden="1" x14ac:dyDescent="0.35">
      <c r="A135" t="s">
        <v>21</v>
      </c>
      <c r="B135">
        <v>2</v>
      </c>
      <c r="C135">
        <v>2</v>
      </c>
      <c r="D135">
        <v>5</v>
      </c>
      <c r="E135" t="s">
        <v>25</v>
      </c>
      <c r="F135">
        <v>50</v>
      </c>
      <c r="G135">
        <v>3</v>
      </c>
      <c r="H135">
        <v>20</v>
      </c>
      <c r="I135" t="s">
        <v>26</v>
      </c>
      <c r="J135" s="3">
        <v>284.62703399999998</v>
      </c>
      <c r="K135" s="3">
        <v>16227.672</v>
      </c>
      <c r="L135" s="3">
        <v>16227.672</v>
      </c>
      <c r="M135" s="3">
        <v>16227.672</v>
      </c>
      <c r="N135" s="3">
        <v>15143.349</v>
      </c>
      <c r="O135" s="4">
        <v>7.1604000000000001</v>
      </c>
      <c r="P135" s="4">
        <v>7.1604000000000001</v>
      </c>
      <c r="Q135" s="4">
        <v>7.1604000000000001</v>
      </c>
      <c r="R135" s="5">
        <v>2.0000000000000001E-4</v>
      </c>
      <c r="S135">
        <v>2</v>
      </c>
      <c r="T135" t="b">
        <v>0</v>
      </c>
      <c r="U135">
        <v>1</v>
      </c>
      <c r="V135" s="4">
        <v>4.75</v>
      </c>
    </row>
    <row r="136" spans="1:22" hidden="1" x14ac:dyDescent="0.35">
      <c r="A136" t="s">
        <v>21</v>
      </c>
      <c r="B136">
        <v>2</v>
      </c>
      <c r="C136">
        <v>2</v>
      </c>
      <c r="D136">
        <v>5</v>
      </c>
      <c r="E136" t="s">
        <v>25</v>
      </c>
      <c r="F136">
        <v>200</v>
      </c>
      <c r="G136">
        <v>1</v>
      </c>
      <c r="H136">
        <v>20</v>
      </c>
      <c r="I136" t="s">
        <v>26</v>
      </c>
      <c r="J136" s="3">
        <v>356.28362499999997</v>
      </c>
      <c r="K136" s="3" t="s">
        <v>24</v>
      </c>
      <c r="L136" s="3" t="s">
        <v>24</v>
      </c>
      <c r="M136" s="3" t="s">
        <v>24</v>
      </c>
      <c r="N136" s="3">
        <v>15143.349</v>
      </c>
      <c r="O136" s="4"/>
      <c r="P136" s="4"/>
      <c r="Q136" s="4"/>
      <c r="R136" s="5">
        <v>0</v>
      </c>
      <c r="S136">
        <v>0</v>
      </c>
      <c r="T136" t="b">
        <v>1</v>
      </c>
      <c r="U136">
        <v>-1</v>
      </c>
      <c r="V136" s="4">
        <v>1.94</v>
      </c>
    </row>
    <row r="137" spans="1:22" hidden="1" x14ac:dyDescent="0.35">
      <c r="A137" t="s">
        <v>21</v>
      </c>
      <c r="B137">
        <v>2</v>
      </c>
      <c r="C137">
        <v>2</v>
      </c>
      <c r="D137">
        <v>5</v>
      </c>
      <c r="E137" t="s">
        <v>25</v>
      </c>
      <c r="F137">
        <v>200</v>
      </c>
      <c r="G137">
        <v>3</v>
      </c>
      <c r="H137">
        <v>20</v>
      </c>
      <c r="I137" t="s">
        <v>26</v>
      </c>
      <c r="J137" s="3">
        <v>284.62703399999998</v>
      </c>
      <c r="K137" s="3">
        <v>16227.672</v>
      </c>
      <c r="L137" s="3">
        <v>16227.672</v>
      </c>
      <c r="M137" s="3">
        <v>16227.672</v>
      </c>
      <c r="N137" s="3">
        <v>15143.349</v>
      </c>
      <c r="O137" s="4">
        <v>7.1604000000000001</v>
      </c>
      <c r="P137" s="4">
        <v>7.1604000000000001</v>
      </c>
      <c r="Q137" s="4">
        <v>7.1604000000000001</v>
      </c>
      <c r="R137" s="5">
        <v>2.0000000000000001E-4</v>
      </c>
      <c r="S137">
        <v>2</v>
      </c>
      <c r="T137" t="b">
        <v>0</v>
      </c>
      <c r="U137">
        <v>1</v>
      </c>
      <c r="V137" s="4">
        <v>4.67</v>
      </c>
    </row>
    <row r="138" spans="1:22" hidden="1" x14ac:dyDescent="0.35">
      <c r="A138" t="s">
        <v>21</v>
      </c>
      <c r="B138">
        <v>2</v>
      </c>
      <c r="C138">
        <v>2</v>
      </c>
      <c r="D138">
        <v>10</v>
      </c>
      <c r="E138" t="s">
        <v>22</v>
      </c>
      <c r="F138">
        <v>50</v>
      </c>
      <c r="G138">
        <v>1</v>
      </c>
      <c r="H138">
        <v>20</v>
      </c>
      <c r="I138" t="s">
        <v>26</v>
      </c>
      <c r="J138" s="3">
        <v>223.91398599999999</v>
      </c>
      <c r="K138" s="3">
        <v>15413.79</v>
      </c>
      <c r="L138" s="3">
        <v>16775.592000000001</v>
      </c>
      <c r="M138" s="3">
        <v>15413.79</v>
      </c>
      <c r="N138" s="3">
        <v>15143.349</v>
      </c>
      <c r="O138" s="4">
        <v>1.7859</v>
      </c>
      <c r="P138" s="4">
        <v>10.778600000000001</v>
      </c>
      <c r="Q138" s="4">
        <v>1.7859</v>
      </c>
      <c r="R138" s="5">
        <v>4.1999999999999997E-3</v>
      </c>
      <c r="S138">
        <v>23</v>
      </c>
      <c r="T138" t="b">
        <v>0</v>
      </c>
      <c r="U138">
        <v>5</v>
      </c>
      <c r="V138" s="4">
        <v>11.93</v>
      </c>
    </row>
    <row r="139" spans="1:22" hidden="1" x14ac:dyDescent="0.35">
      <c r="A139" t="s">
        <v>21</v>
      </c>
      <c r="B139">
        <v>2</v>
      </c>
      <c r="C139">
        <v>2</v>
      </c>
      <c r="D139">
        <v>10</v>
      </c>
      <c r="E139" t="s">
        <v>22</v>
      </c>
      <c r="F139">
        <v>50</v>
      </c>
      <c r="G139">
        <v>3</v>
      </c>
      <c r="H139">
        <v>20</v>
      </c>
      <c r="I139" t="s">
        <v>26</v>
      </c>
      <c r="J139" s="3">
        <v>145.258849</v>
      </c>
      <c r="K139" s="3">
        <v>15427.937</v>
      </c>
      <c r="L139" s="3">
        <v>17589.473999999998</v>
      </c>
      <c r="M139" s="3">
        <v>15143.349</v>
      </c>
      <c r="N139" s="3">
        <v>15143.349</v>
      </c>
      <c r="O139" s="4">
        <v>1.8793</v>
      </c>
      <c r="P139" s="4">
        <v>16.153099999999998</v>
      </c>
      <c r="Q139" s="4">
        <v>0</v>
      </c>
      <c r="R139" s="5">
        <v>3.9E-2</v>
      </c>
      <c r="S139">
        <v>36</v>
      </c>
      <c r="T139" t="b">
        <v>0</v>
      </c>
      <c r="U139">
        <v>15</v>
      </c>
      <c r="V139" s="4">
        <v>33.94</v>
      </c>
    </row>
    <row r="140" spans="1:22" hidden="1" x14ac:dyDescent="0.35">
      <c r="A140" t="s">
        <v>21</v>
      </c>
      <c r="B140">
        <v>2</v>
      </c>
      <c r="C140">
        <v>2</v>
      </c>
      <c r="D140">
        <v>10</v>
      </c>
      <c r="E140" t="s">
        <v>22</v>
      </c>
      <c r="F140">
        <v>200</v>
      </c>
      <c r="G140">
        <v>1</v>
      </c>
      <c r="H140">
        <v>20</v>
      </c>
      <c r="I140" t="s">
        <v>26</v>
      </c>
      <c r="J140" s="3">
        <v>223.91398599999999</v>
      </c>
      <c r="K140" s="3">
        <v>15413.79</v>
      </c>
      <c r="L140" s="3">
        <v>16775.592000000001</v>
      </c>
      <c r="M140" s="3">
        <v>15413.79</v>
      </c>
      <c r="N140" s="3">
        <v>15143.349</v>
      </c>
      <c r="O140" s="4">
        <v>1.7859</v>
      </c>
      <c r="P140" s="4">
        <v>10.778600000000001</v>
      </c>
      <c r="Q140" s="4">
        <v>1.7859</v>
      </c>
      <c r="R140" s="5">
        <v>4.1999999999999997E-3</v>
      </c>
      <c r="S140">
        <v>23</v>
      </c>
      <c r="T140" t="b">
        <v>0</v>
      </c>
      <c r="U140">
        <v>5</v>
      </c>
      <c r="V140" s="4">
        <v>12.1</v>
      </c>
    </row>
    <row r="141" spans="1:22" hidden="1" x14ac:dyDescent="0.35">
      <c r="A141" t="s">
        <v>21</v>
      </c>
      <c r="B141">
        <v>2</v>
      </c>
      <c r="C141">
        <v>2</v>
      </c>
      <c r="D141">
        <v>10</v>
      </c>
      <c r="E141" t="s">
        <v>22</v>
      </c>
      <c r="F141">
        <v>200</v>
      </c>
      <c r="G141">
        <v>3</v>
      </c>
      <c r="H141">
        <v>20</v>
      </c>
      <c r="I141" t="s">
        <v>26</v>
      </c>
      <c r="J141" s="3">
        <v>144.55894900000001</v>
      </c>
      <c r="K141" s="3">
        <v>15427.937</v>
      </c>
      <c r="L141" s="3">
        <v>17589.473999999998</v>
      </c>
      <c r="M141" s="3">
        <v>15143.349</v>
      </c>
      <c r="N141" s="3">
        <v>15143.349</v>
      </c>
      <c r="O141" s="4">
        <v>1.8793</v>
      </c>
      <c r="P141" s="4">
        <v>16.153099999999998</v>
      </c>
      <c r="Q141" s="4">
        <v>0</v>
      </c>
      <c r="R141" s="5">
        <v>3.8699999999999998E-2</v>
      </c>
      <c r="S141">
        <v>36</v>
      </c>
      <c r="T141" t="b">
        <v>0</v>
      </c>
      <c r="U141">
        <v>14</v>
      </c>
      <c r="V141" s="4">
        <v>35.43</v>
      </c>
    </row>
    <row r="142" spans="1:22" hidden="1" x14ac:dyDescent="0.35">
      <c r="A142" t="s">
        <v>21</v>
      </c>
      <c r="B142">
        <v>2</v>
      </c>
      <c r="C142">
        <v>2</v>
      </c>
      <c r="D142">
        <v>10</v>
      </c>
      <c r="E142" t="s">
        <v>25</v>
      </c>
      <c r="F142">
        <v>50</v>
      </c>
      <c r="G142">
        <v>1</v>
      </c>
      <c r="H142">
        <v>20</v>
      </c>
      <c r="I142" t="s">
        <v>26</v>
      </c>
      <c r="J142" s="3">
        <v>715.05991900000004</v>
      </c>
      <c r="K142" s="3">
        <v>15413.79</v>
      </c>
      <c r="L142" s="3">
        <v>15413.79</v>
      </c>
      <c r="M142" s="3">
        <v>15413.79</v>
      </c>
      <c r="N142" s="3">
        <v>15143.349</v>
      </c>
      <c r="O142" s="4">
        <v>1.7859</v>
      </c>
      <c r="P142" s="4">
        <v>1.7859</v>
      </c>
      <c r="Q142" s="4">
        <v>1.7859</v>
      </c>
      <c r="R142" s="5">
        <v>2.0000000000000001E-4</v>
      </c>
      <c r="S142">
        <v>2</v>
      </c>
      <c r="T142" t="b">
        <v>0</v>
      </c>
      <c r="U142">
        <v>1</v>
      </c>
      <c r="V142" s="4">
        <v>1.87</v>
      </c>
    </row>
    <row r="143" spans="1:22" hidden="1" x14ac:dyDescent="0.35">
      <c r="A143" t="s">
        <v>21</v>
      </c>
      <c r="B143">
        <v>2</v>
      </c>
      <c r="C143">
        <v>2</v>
      </c>
      <c r="D143">
        <v>10</v>
      </c>
      <c r="E143" t="s">
        <v>25</v>
      </c>
      <c r="F143">
        <v>50</v>
      </c>
      <c r="G143">
        <v>3</v>
      </c>
      <c r="H143">
        <v>20</v>
      </c>
      <c r="I143" t="s">
        <v>26</v>
      </c>
      <c r="J143" s="3">
        <v>546.93291399999998</v>
      </c>
      <c r="K143" s="3">
        <v>15143.349</v>
      </c>
      <c r="L143" s="3">
        <v>15143.349</v>
      </c>
      <c r="M143" s="3">
        <v>15143.349</v>
      </c>
      <c r="N143" s="3">
        <v>15143.349</v>
      </c>
      <c r="O143" s="4">
        <v>0</v>
      </c>
      <c r="P143" s="4">
        <v>0</v>
      </c>
      <c r="Q143" s="4">
        <v>0</v>
      </c>
      <c r="R143" s="5">
        <v>1E-4</v>
      </c>
      <c r="S143">
        <v>1</v>
      </c>
      <c r="T143" t="b">
        <v>0</v>
      </c>
      <c r="U143">
        <v>1</v>
      </c>
      <c r="V143" s="4">
        <v>4.74</v>
      </c>
    </row>
    <row r="144" spans="1:22" hidden="1" x14ac:dyDescent="0.35">
      <c r="A144" t="s">
        <v>21</v>
      </c>
      <c r="B144">
        <v>2</v>
      </c>
      <c r="C144">
        <v>2</v>
      </c>
      <c r="D144">
        <v>10</v>
      </c>
      <c r="E144" t="s">
        <v>25</v>
      </c>
      <c r="F144">
        <v>200</v>
      </c>
      <c r="G144">
        <v>1</v>
      </c>
      <c r="H144">
        <v>20</v>
      </c>
      <c r="I144" t="s">
        <v>26</v>
      </c>
      <c r="J144" s="3">
        <v>715.05991900000004</v>
      </c>
      <c r="K144" s="3">
        <v>15413.79</v>
      </c>
      <c r="L144" s="3">
        <v>15413.79</v>
      </c>
      <c r="M144" s="3">
        <v>15413.79</v>
      </c>
      <c r="N144" s="3">
        <v>15143.349</v>
      </c>
      <c r="O144" s="4">
        <v>1.7859</v>
      </c>
      <c r="P144" s="4">
        <v>1.7859</v>
      </c>
      <c r="Q144" s="4">
        <v>1.7859</v>
      </c>
      <c r="R144" s="5">
        <v>2.0000000000000001E-4</v>
      </c>
      <c r="S144">
        <v>2</v>
      </c>
      <c r="T144" t="b">
        <v>0</v>
      </c>
      <c r="U144">
        <v>1</v>
      </c>
      <c r="V144" s="4">
        <v>1.93</v>
      </c>
    </row>
    <row r="145" spans="1:22" hidden="1" x14ac:dyDescent="0.35">
      <c r="A145" t="s">
        <v>21</v>
      </c>
      <c r="B145">
        <v>2</v>
      </c>
      <c r="C145">
        <v>2</v>
      </c>
      <c r="D145">
        <v>10</v>
      </c>
      <c r="E145" t="s">
        <v>25</v>
      </c>
      <c r="F145">
        <v>200</v>
      </c>
      <c r="G145">
        <v>3</v>
      </c>
      <c r="H145">
        <v>20</v>
      </c>
      <c r="I145" t="s">
        <v>26</v>
      </c>
      <c r="J145" s="3">
        <v>546.93291399999998</v>
      </c>
      <c r="K145" s="3">
        <v>15143.349</v>
      </c>
      <c r="L145" s="3">
        <v>15143.349</v>
      </c>
      <c r="M145" s="3">
        <v>15143.349</v>
      </c>
      <c r="N145" s="3">
        <v>15143.349</v>
      </c>
      <c r="O145" s="4">
        <v>0</v>
      </c>
      <c r="P145" s="4">
        <v>0</v>
      </c>
      <c r="Q145" s="4">
        <v>0</v>
      </c>
      <c r="R145" s="5">
        <v>1E-4</v>
      </c>
      <c r="S145">
        <v>1</v>
      </c>
      <c r="T145" t="b">
        <v>0</v>
      </c>
      <c r="U145">
        <v>1</v>
      </c>
      <c r="V145" s="4">
        <v>4.7</v>
      </c>
    </row>
    <row r="146" spans="1:22" hidden="1" x14ac:dyDescent="0.35">
      <c r="A146" t="s">
        <v>21</v>
      </c>
      <c r="B146">
        <v>2</v>
      </c>
      <c r="C146">
        <v>3</v>
      </c>
      <c r="D146">
        <v>2</v>
      </c>
      <c r="E146" t="s">
        <v>22</v>
      </c>
      <c r="F146">
        <v>50</v>
      </c>
      <c r="G146">
        <v>1</v>
      </c>
      <c r="H146">
        <v>20</v>
      </c>
      <c r="I146" t="s">
        <v>26</v>
      </c>
      <c r="J146" s="3">
        <v>50.788930999999998</v>
      </c>
      <c r="K146" s="3">
        <v>15143.349</v>
      </c>
      <c r="L146" s="3">
        <v>15823.855</v>
      </c>
      <c r="M146" s="3">
        <v>15143.349</v>
      </c>
      <c r="N146" s="3">
        <v>15143.349</v>
      </c>
      <c r="O146" s="4">
        <v>0</v>
      </c>
      <c r="P146" s="4">
        <v>4.4938000000000002</v>
      </c>
      <c r="Q146" s="4">
        <v>0</v>
      </c>
      <c r="R146" s="5">
        <v>4.1999999999999997E-3</v>
      </c>
      <c r="S146">
        <v>26</v>
      </c>
      <c r="T146" t="b">
        <v>0</v>
      </c>
      <c r="U146">
        <v>2</v>
      </c>
      <c r="V146" s="4">
        <v>15.4</v>
      </c>
    </row>
    <row r="147" spans="1:22" hidden="1" x14ac:dyDescent="0.35">
      <c r="A147" t="s">
        <v>21</v>
      </c>
      <c r="B147">
        <v>2</v>
      </c>
      <c r="C147">
        <v>3</v>
      </c>
      <c r="D147">
        <v>2</v>
      </c>
      <c r="E147" t="s">
        <v>22</v>
      </c>
      <c r="F147">
        <v>50</v>
      </c>
      <c r="G147">
        <v>3</v>
      </c>
      <c r="H147">
        <v>20</v>
      </c>
      <c r="I147" t="s">
        <v>26</v>
      </c>
      <c r="J147" s="3">
        <v>50.788930999999998</v>
      </c>
      <c r="K147" s="3">
        <v>15143.349</v>
      </c>
      <c r="L147" s="3">
        <v>15823.855</v>
      </c>
      <c r="M147" s="3">
        <v>15143.349</v>
      </c>
      <c r="N147" s="3">
        <v>15143.349</v>
      </c>
      <c r="O147" s="4">
        <v>0</v>
      </c>
      <c r="P147" s="4">
        <v>4.4938000000000002</v>
      </c>
      <c r="Q147" s="4">
        <v>0</v>
      </c>
      <c r="R147" s="5">
        <v>4.1999999999999997E-3</v>
      </c>
      <c r="S147">
        <v>26</v>
      </c>
      <c r="T147" t="b">
        <v>0</v>
      </c>
      <c r="U147">
        <v>2</v>
      </c>
      <c r="V147" s="4">
        <v>44.82</v>
      </c>
    </row>
    <row r="148" spans="1:22" hidden="1" x14ac:dyDescent="0.35">
      <c r="A148" t="s">
        <v>21</v>
      </c>
      <c r="B148">
        <v>2</v>
      </c>
      <c r="C148">
        <v>3</v>
      </c>
      <c r="D148">
        <v>2</v>
      </c>
      <c r="E148" t="s">
        <v>22</v>
      </c>
      <c r="F148">
        <v>200</v>
      </c>
      <c r="G148">
        <v>1</v>
      </c>
      <c r="H148">
        <v>20</v>
      </c>
      <c r="I148" t="s">
        <v>26</v>
      </c>
      <c r="J148" s="3">
        <v>50.616841000000001</v>
      </c>
      <c r="K148" s="3">
        <v>15143.349</v>
      </c>
      <c r="L148" s="3">
        <v>16227.672</v>
      </c>
      <c r="M148" s="3">
        <v>15143.349</v>
      </c>
      <c r="N148" s="3">
        <v>15143.349</v>
      </c>
      <c r="O148" s="4">
        <v>0</v>
      </c>
      <c r="P148" s="4">
        <v>7.1604000000000001</v>
      </c>
      <c r="Q148" s="4">
        <v>0</v>
      </c>
      <c r="R148" s="5">
        <v>4.5999999999999999E-3</v>
      </c>
      <c r="S148">
        <v>27</v>
      </c>
      <c r="T148" t="b">
        <v>0</v>
      </c>
      <c r="U148">
        <v>2</v>
      </c>
      <c r="V148" s="4">
        <v>23.9</v>
      </c>
    </row>
    <row r="149" spans="1:22" hidden="1" x14ac:dyDescent="0.35">
      <c r="A149" t="s">
        <v>21</v>
      </c>
      <c r="B149">
        <v>2</v>
      </c>
      <c r="C149">
        <v>3</v>
      </c>
      <c r="D149">
        <v>2</v>
      </c>
      <c r="E149" t="s">
        <v>22</v>
      </c>
      <c r="F149">
        <v>200</v>
      </c>
      <c r="G149">
        <v>3</v>
      </c>
      <c r="H149">
        <v>20</v>
      </c>
      <c r="I149" t="s">
        <v>26</v>
      </c>
      <c r="J149" s="3">
        <v>50.616841000000001</v>
      </c>
      <c r="K149" s="3">
        <v>15143.349</v>
      </c>
      <c r="L149" s="3">
        <v>16227.672</v>
      </c>
      <c r="M149" s="3">
        <v>15143.349</v>
      </c>
      <c r="N149" s="3">
        <v>15143.349</v>
      </c>
      <c r="O149" s="4">
        <v>0</v>
      </c>
      <c r="P149" s="4">
        <v>7.1604000000000001</v>
      </c>
      <c r="Q149" s="4">
        <v>0</v>
      </c>
      <c r="R149" s="5">
        <v>4.5999999999999999E-3</v>
      </c>
      <c r="S149">
        <v>27</v>
      </c>
      <c r="T149" t="b">
        <v>0</v>
      </c>
      <c r="U149">
        <v>2</v>
      </c>
      <c r="V149" s="4">
        <v>61.07</v>
      </c>
    </row>
    <row r="150" spans="1:22" hidden="1" x14ac:dyDescent="0.35">
      <c r="A150" t="s">
        <v>21</v>
      </c>
      <c r="B150">
        <v>2</v>
      </c>
      <c r="C150">
        <v>3</v>
      </c>
      <c r="D150">
        <v>2</v>
      </c>
      <c r="E150" t="s">
        <v>25</v>
      </c>
      <c r="F150">
        <v>50</v>
      </c>
      <c r="G150">
        <v>1</v>
      </c>
      <c r="H150">
        <v>20</v>
      </c>
      <c r="I150" t="s">
        <v>26</v>
      </c>
      <c r="J150" s="3">
        <v>153.42830900000001</v>
      </c>
      <c r="K150" s="3">
        <v>16789.739000000001</v>
      </c>
      <c r="L150" s="3">
        <v>16789.739000000001</v>
      </c>
      <c r="M150" s="3">
        <v>16789.739000000001</v>
      </c>
      <c r="N150" s="3">
        <v>15143.349</v>
      </c>
      <c r="O150" s="4">
        <v>10.872</v>
      </c>
      <c r="P150" s="4">
        <v>10.872</v>
      </c>
      <c r="Q150" s="4">
        <v>10.872</v>
      </c>
      <c r="R150" s="5">
        <v>1E-4</v>
      </c>
      <c r="S150">
        <v>1</v>
      </c>
      <c r="T150" t="b">
        <v>0</v>
      </c>
      <c r="U150">
        <v>1</v>
      </c>
      <c r="V150" s="4">
        <v>2.91</v>
      </c>
    </row>
    <row r="151" spans="1:22" hidden="1" x14ac:dyDescent="0.35">
      <c r="A151" t="s">
        <v>21</v>
      </c>
      <c r="B151">
        <v>2</v>
      </c>
      <c r="C151">
        <v>3</v>
      </c>
      <c r="D151">
        <v>2</v>
      </c>
      <c r="E151" t="s">
        <v>25</v>
      </c>
      <c r="F151">
        <v>50</v>
      </c>
      <c r="G151">
        <v>3</v>
      </c>
      <c r="H151">
        <v>20</v>
      </c>
      <c r="I151" t="s">
        <v>26</v>
      </c>
      <c r="J151" s="3">
        <v>152.38133400000001</v>
      </c>
      <c r="K151" s="3">
        <v>15427.937</v>
      </c>
      <c r="L151" s="3">
        <v>15427.937</v>
      </c>
      <c r="M151" s="3">
        <v>15427.937</v>
      </c>
      <c r="N151" s="3">
        <v>15143.349</v>
      </c>
      <c r="O151" s="4">
        <v>1.8793</v>
      </c>
      <c r="P151" s="4">
        <v>1.8793</v>
      </c>
      <c r="Q151" s="4">
        <v>1.8793</v>
      </c>
      <c r="R151" s="5">
        <v>1E-4</v>
      </c>
      <c r="S151">
        <v>1</v>
      </c>
      <c r="T151" t="b">
        <v>0</v>
      </c>
      <c r="U151">
        <v>1</v>
      </c>
      <c r="V151" s="4">
        <v>7.7</v>
      </c>
    </row>
    <row r="152" spans="1:22" hidden="1" x14ac:dyDescent="0.35">
      <c r="A152" t="s">
        <v>21</v>
      </c>
      <c r="B152">
        <v>2</v>
      </c>
      <c r="C152">
        <v>3</v>
      </c>
      <c r="D152">
        <v>2</v>
      </c>
      <c r="E152" t="s">
        <v>25</v>
      </c>
      <c r="F152">
        <v>200</v>
      </c>
      <c r="G152">
        <v>1</v>
      </c>
      <c r="H152">
        <v>20</v>
      </c>
      <c r="I152" t="s">
        <v>26</v>
      </c>
      <c r="J152" s="3">
        <v>153.42830900000001</v>
      </c>
      <c r="K152" s="3">
        <v>16789.739000000001</v>
      </c>
      <c r="L152" s="3">
        <v>16789.739000000001</v>
      </c>
      <c r="M152" s="3">
        <v>16789.739000000001</v>
      </c>
      <c r="N152" s="3">
        <v>15143.349</v>
      </c>
      <c r="O152" s="4">
        <v>10.872</v>
      </c>
      <c r="P152" s="4">
        <v>10.872</v>
      </c>
      <c r="Q152" s="4">
        <v>10.872</v>
      </c>
      <c r="R152" s="5">
        <v>1E-4</v>
      </c>
      <c r="S152">
        <v>1</v>
      </c>
      <c r="T152" t="b">
        <v>0</v>
      </c>
      <c r="U152">
        <v>1</v>
      </c>
      <c r="V152" s="4">
        <v>2.88</v>
      </c>
    </row>
    <row r="153" spans="1:22" hidden="1" x14ac:dyDescent="0.35">
      <c r="A153" t="s">
        <v>21</v>
      </c>
      <c r="B153">
        <v>2</v>
      </c>
      <c r="C153">
        <v>3</v>
      </c>
      <c r="D153">
        <v>2</v>
      </c>
      <c r="E153" t="s">
        <v>25</v>
      </c>
      <c r="F153">
        <v>200</v>
      </c>
      <c r="G153">
        <v>3</v>
      </c>
      <c r="H153">
        <v>20</v>
      </c>
      <c r="I153" t="s">
        <v>26</v>
      </c>
      <c r="J153" s="3">
        <v>152.38133400000001</v>
      </c>
      <c r="K153" s="3">
        <v>15427.937</v>
      </c>
      <c r="L153" s="3">
        <v>15427.937</v>
      </c>
      <c r="M153" s="3">
        <v>15427.937</v>
      </c>
      <c r="N153" s="3">
        <v>15143.349</v>
      </c>
      <c r="O153" s="4">
        <v>1.8793</v>
      </c>
      <c r="P153" s="4">
        <v>1.8793</v>
      </c>
      <c r="Q153" s="4">
        <v>1.8793</v>
      </c>
      <c r="R153" s="5">
        <v>1E-4</v>
      </c>
      <c r="S153">
        <v>1</v>
      </c>
      <c r="T153" t="b">
        <v>0</v>
      </c>
      <c r="U153">
        <v>1</v>
      </c>
      <c r="V153" s="4">
        <v>7.63</v>
      </c>
    </row>
    <row r="154" spans="1:22" hidden="1" x14ac:dyDescent="0.35">
      <c r="A154" t="s">
        <v>21</v>
      </c>
      <c r="B154">
        <v>2</v>
      </c>
      <c r="C154">
        <v>3</v>
      </c>
      <c r="D154">
        <v>5</v>
      </c>
      <c r="E154" t="s">
        <v>22</v>
      </c>
      <c r="F154">
        <v>50</v>
      </c>
      <c r="G154">
        <v>1</v>
      </c>
      <c r="H154">
        <v>20</v>
      </c>
      <c r="I154" t="s">
        <v>26</v>
      </c>
      <c r="J154" s="3">
        <v>111.052983</v>
      </c>
      <c r="K154" s="3">
        <v>15143.349</v>
      </c>
      <c r="L154" s="3">
        <v>16789.739000000001</v>
      </c>
      <c r="M154" s="3">
        <v>15143.349</v>
      </c>
      <c r="N154" s="3">
        <v>15143.349</v>
      </c>
      <c r="O154" s="4">
        <v>0</v>
      </c>
      <c r="P154" s="4">
        <v>10.872</v>
      </c>
      <c r="Q154" s="4">
        <v>0</v>
      </c>
      <c r="R154" s="5">
        <v>5.3E-3</v>
      </c>
      <c r="S154">
        <v>29</v>
      </c>
      <c r="T154" t="b">
        <v>0</v>
      </c>
      <c r="U154">
        <v>4</v>
      </c>
      <c r="V154" s="4">
        <v>15.36</v>
      </c>
    </row>
    <row r="155" spans="1:22" hidden="1" x14ac:dyDescent="0.35">
      <c r="A155" t="s">
        <v>21</v>
      </c>
      <c r="B155">
        <v>2</v>
      </c>
      <c r="C155">
        <v>3</v>
      </c>
      <c r="D155">
        <v>5</v>
      </c>
      <c r="E155" t="s">
        <v>22</v>
      </c>
      <c r="F155">
        <v>50</v>
      </c>
      <c r="G155">
        <v>3</v>
      </c>
      <c r="H155">
        <v>20</v>
      </c>
      <c r="I155" t="s">
        <v>26</v>
      </c>
      <c r="J155" s="3">
        <v>111.052983</v>
      </c>
      <c r="K155" s="3">
        <v>15143.349</v>
      </c>
      <c r="L155" s="3">
        <v>16789.739000000001</v>
      </c>
      <c r="M155" s="3">
        <v>15143.349</v>
      </c>
      <c r="N155" s="3">
        <v>15143.349</v>
      </c>
      <c r="O155" s="4">
        <v>0</v>
      </c>
      <c r="P155" s="4">
        <v>10.872</v>
      </c>
      <c r="Q155" s="4">
        <v>0</v>
      </c>
      <c r="R155" s="5">
        <v>5.3E-3</v>
      </c>
      <c r="S155">
        <v>29</v>
      </c>
      <c r="T155" t="b">
        <v>0</v>
      </c>
      <c r="U155">
        <v>4</v>
      </c>
      <c r="V155" s="4">
        <v>44.42</v>
      </c>
    </row>
    <row r="156" spans="1:22" hidden="1" x14ac:dyDescent="0.35">
      <c r="A156" t="s">
        <v>21</v>
      </c>
      <c r="B156">
        <v>2</v>
      </c>
      <c r="C156">
        <v>3</v>
      </c>
      <c r="D156">
        <v>5</v>
      </c>
      <c r="E156" t="s">
        <v>22</v>
      </c>
      <c r="F156">
        <v>200</v>
      </c>
      <c r="G156">
        <v>1</v>
      </c>
      <c r="H156">
        <v>20</v>
      </c>
      <c r="I156" t="s">
        <v>26</v>
      </c>
      <c r="J156" s="3">
        <v>110.36994900000001</v>
      </c>
      <c r="K156" s="3">
        <v>15143.349</v>
      </c>
      <c r="L156" s="3">
        <v>15957.231</v>
      </c>
      <c r="M156" s="3">
        <v>15143.349</v>
      </c>
      <c r="N156" s="3">
        <v>15143.349</v>
      </c>
      <c r="O156" s="4">
        <v>0</v>
      </c>
      <c r="P156" s="4">
        <v>5.3745000000000003</v>
      </c>
      <c r="Q156" s="4">
        <v>0</v>
      </c>
      <c r="R156" s="5">
        <v>4.7000000000000002E-3</v>
      </c>
      <c r="S156">
        <v>24</v>
      </c>
      <c r="T156" t="b">
        <v>0</v>
      </c>
      <c r="U156">
        <v>4</v>
      </c>
      <c r="V156" s="4">
        <v>21.04</v>
      </c>
    </row>
    <row r="157" spans="1:22" hidden="1" x14ac:dyDescent="0.35">
      <c r="A157" t="s">
        <v>21</v>
      </c>
      <c r="B157">
        <v>2</v>
      </c>
      <c r="C157">
        <v>3</v>
      </c>
      <c r="D157">
        <v>5</v>
      </c>
      <c r="E157" t="s">
        <v>22</v>
      </c>
      <c r="F157">
        <v>200</v>
      </c>
      <c r="G157">
        <v>3</v>
      </c>
      <c r="H157">
        <v>20</v>
      </c>
      <c r="I157" t="s">
        <v>26</v>
      </c>
      <c r="J157" s="3">
        <v>110.36994900000001</v>
      </c>
      <c r="K157" s="3">
        <v>15143.349</v>
      </c>
      <c r="L157" s="3">
        <v>15957.231</v>
      </c>
      <c r="M157" s="3">
        <v>15143.349</v>
      </c>
      <c r="N157" s="3">
        <v>15143.349</v>
      </c>
      <c r="O157" s="4">
        <v>0</v>
      </c>
      <c r="P157" s="4">
        <v>5.3745000000000003</v>
      </c>
      <c r="Q157" s="4">
        <v>0</v>
      </c>
      <c r="R157" s="5">
        <v>4.7000000000000002E-3</v>
      </c>
      <c r="S157">
        <v>24</v>
      </c>
      <c r="T157" t="b">
        <v>0</v>
      </c>
      <c r="U157">
        <v>4</v>
      </c>
      <c r="V157" s="4">
        <v>51.26</v>
      </c>
    </row>
    <row r="158" spans="1:22" hidden="1" x14ac:dyDescent="0.35">
      <c r="A158" t="s">
        <v>21</v>
      </c>
      <c r="B158">
        <v>2</v>
      </c>
      <c r="C158">
        <v>3</v>
      </c>
      <c r="D158">
        <v>5</v>
      </c>
      <c r="E158" t="s">
        <v>25</v>
      </c>
      <c r="F158">
        <v>50</v>
      </c>
      <c r="G158">
        <v>1</v>
      </c>
      <c r="H158">
        <v>20</v>
      </c>
      <c r="I158" t="s">
        <v>26</v>
      </c>
      <c r="J158" s="3">
        <v>379.51344799999998</v>
      </c>
      <c r="K158" s="3" t="s">
        <v>24</v>
      </c>
      <c r="L158" s="3" t="s">
        <v>24</v>
      </c>
      <c r="M158" s="3" t="s">
        <v>24</v>
      </c>
      <c r="N158" s="3">
        <v>15143.349</v>
      </c>
      <c r="O158" s="4"/>
      <c r="P158" s="4"/>
      <c r="Q158" s="4"/>
      <c r="R158" s="5">
        <v>0</v>
      </c>
      <c r="S158">
        <v>0</v>
      </c>
      <c r="T158" t="b">
        <v>1</v>
      </c>
      <c r="U158">
        <v>-1</v>
      </c>
      <c r="V158" s="4">
        <v>2.94</v>
      </c>
    </row>
    <row r="159" spans="1:22" hidden="1" x14ac:dyDescent="0.35">
      <c r="A159" t="s">
        <v>21</v>
      </c>
      <c r="B159">
        <v>2</v>
      </c>
      <c r="C159">
        <v>3</v>
      </c>
      <c r="D159">
        <v>5</v>
      </c>
      <c r="E159" t="s">
        <v>25</v>
      </c>
      <c r="F159">
        <v>50</v>
      </c>
      <c r="G159">
        <v>3</v>
      </c>
      <c r="H159">
        <v>20</v>
      </c>
      <c r="I159" t="s">
        <v>26</v>
      </c>
      <c r="J159" s="3">
        <v>371.396252</v>
      </c>
      <c r="K159" s="3">
        <v>17589.473999999998</v>
      </c>
      <c r="L159" s="3">
        <v>17589.473999999998</v>
      </c>
      <c r="M159" s="3">
        <v>17589.473999999998</v>
      </c>
      <c r="N159" s="3">
        <v>15143.349</v>
      </c>
      <c r="O159" s="4">
        <v>16.153099999999998</v>
      </c>
      <c r="P159" s="4">
        <v>16.153099999999998</v>
      </c>
      <c r="Q159" s="4">
        <v>16.153099999999998</v>
      </c>
      <c r="R159" s="5">
        <v>1E-4</v>
      </c>
      <c r="S159">
        <v>1</v>
      </c>
      <c r="T159" t="b">
        <v>0</v>
      </c>
      <c r="U159">
        <v>1</v>
      </c>
      <c r="V159" s="4">
        <v>7.58</v>
      </c>
    </row>
    <row r="160" spans="1:22" hidden="1" x14ac:dyDescent="0.35">
      <c r="A160" t="s">
        <v>21</v>
      </c>
      <c r="B160">
        <v>2</v>
      </c>
      <c r="C160">
        <v>3</v>
      </c>
      <c r="D160">
        <v>5</v>
      </c>
      <c r="E160" t="s">
        <v>25</v>
      </c>
      <c r="F160">
        <v>200</v>
      </c>
      <c r="G160">
        <v>1</v>
      </c>
      <c r="H160">
        <v>20</v>
      </c>
      <c r="I160" t="s">
        <v>26</v>
      </c>
      <c r="J160" s="3">
        <v>379.51344799999998</v>
      </c>
      <c r="K160" s="3" t="s">
        <v>24</v>
      </c>
      <c r="L160" s="3" t="s">
        <v>24</v>
      </c>
      <c r="M160" s="3" t="s">
        <v>24</v>
      </c>
      <c r="N160" s="3">
        <v>15143.349</v>
      </c>
      <c r="O160" s="4"/>
      <c r="P160" s="4"/>
      <c r="Q160" s="4"/>
      <c r="R160" s="5">
        <v>0</v>
      </c>
      <c r="S160">
        <v>0</v>
      </c>
      <c r="T160" t="b">
        <v>1</v>
      </c>
      <c r="U160">
        <v>-1</v>
      </c>
      <c r="V160" s="4">
        <v>2.91</v>
      </c>
    </row>
    <row r="161" spans="1:22" hidden="1" x14ac:dyDescent="0.35">
      <c r="A161" t="s">
        <v>21</v>
      </c>
      <c r="B161">
        <v>2</v>
      </c>
      <c r="C161">
        <v>3</v>
      </c>
      <c r="D161">
        <v>5</v>
      </c>
      <c r="E161" t="s">
        <v>25</v>
      </c>
      <c r="F161">
        <v>200</v>
      </c>
      <c r="G161">
        <v>3</v>
      </c>
      <c r="H161">
        <v>20</v>
      </c>
      <c r="I161" t="s">
        <v>26</v>
      </c>
      <c r="J161" s="3">
        <v>371.396252</v>
      </c>
      <c r="K161" s="3">
        <v>17589.473999999998</v>
      </c>
      <c r="L161" s="3">
        <v>17589.473999999998</v>
      </c>
      <c r="M161" s="3">
        <v>17589.473999999998</v>
      </c>
      <c r="N161" s="3">
        <v>15143.349</v>
      </c>
      <c r="O161" s="4">
        <v>16.153099999999998</v>
      </c>
      <c r="P161" s="4">
        <v>16.153099999999998</v>
      </c>
      <c r="Q161" s="4">
        <v>16.153099999999998</v>
      </c>
      <c r="R161" s="5">
        <v>1E-4</v>
      </c>
      <c r="S161">
        <v>1</v>
      </c>
      <c r="T161" t="b">
        <v>0</v>
      </c>
      <c r="U161">
        <v>1</v>
      </c>
      <c r="V161" s="4">
        <v>7.54</v>
      </c>
    </row>
    <row r="162" spans="1:22" hidden="1" x14ac:dyDescent="0.35">
      <c r="A162" t="s">
        <v>21</v>
      </c>
      <c r="B162">
        <v>2</v>
      </c>
      <c r="C162">
        <v>3</v>
      </c>
      <c r="D162">
        <v>10</v>
      </c>
      <c r="E162" t="s">
        <v>22</v>
      </c>
      <c r="F162">
        <v>50</v>
      </c>
      <c r="G162">
        <v>1</v>
      </c>
      <c r="H162">
        <v>20</v>
      </c>
      <c r="I162" t="s">
        <v>26</v>
      </c>
      <c r="J162" s="3">
        <v>699.63672299999996</v>
      </c>
      <c r="K162" s="3">
        <v>15413.79</v>
      </c>
      <c r="L162" s="3">
        <v>15413.79</v>
      </c>
      <c r="M162" s="3">
        <v>15413.79</v>
      </c>
      <c r="N162" s="3">
        <v>15143.349</v>
      </c>
      <c r="O162" s="4">
        <v>1.7859</v>
      </c>
      <c r="P162" s="4">
        <v>1.7859</v>
      </c>
      <c r="Q162" s="4">
        <v>1.7859</v>
      </c>
      <c r="R162" s="5">
        <v>1E-4</v>
      </c>
      <c r="S162">
        <v>1</v>
      </c>
      <c r="T162" t="b">
        <v>0</v>
      </c>
      <c r="U162">
        <v>1</v>
      </c>
      <c r="V162" s="4">
        <v>15.55</v>
      </c>
    </row>
    <row r="163" spans="1:22" hidden="1" x14ac:dyDescent="0.35">
      <c r="A163" t="s">
        <v>21</v>
      </c>
      <c r="B163">
        <v>2</v>
      </c>
      <c r="C163">
        <v>3</v>
      </c>
      <c r="D163">
        <v>10</v>
      </c>
      <c r="E163" t="s">
        <v>22</v>
      </c>
      <c r="F163">
        <v>50</v>
      </c>
      <c r="G163">
        <v>3</v>
      </c>
      <c r="H163">
        <v>20</v>
      </c>
      <c r="I163" t="s">
        <v>26</v>
      </c>
      <c r="J163" s="3">
        <v>698.92066299999999</v>
      </c>
      <c r="K163" s="3" t="s">
        <v>24</v>
      </c>
      <c r="L163" s="3" t="s">
        <v>24</v>
      </c>
      <c r="M163" s="3" t="s">
        <v>24</v>
      </c>
      <c r="N163" s="3">
        <v>15143.349</v>
      </c>
      <c r="O163" s="4"/>
      <c r="P163" s="4"/>
      <c r="Q163" s="4"/>
      <c r="R163" s="5">
        <v>0</v>
      </c>
      <c r="S163">
        <v>0</v>
      </c>
      <c r="T163" t="b">
        <v>1</v>
      </c>
      <c r="U163">
        <v>-1</v>
      </c>
      <c r="V163" s="4">
        <v>45.26</v>
      </c>
    </row>
    <row r="164" spans="1:22" hidden="1" x14ac:dyDescent="0.35">
      <c r="A164" t="s">
        <v>21</v>
      </c>
      <c r="B164">
        <v>2</v>
      </c>
      <c r="C164">
        <v>3</v>
      </c>
      <c r="D164">
        <v>10</v>
      </c>
      <c r="E164" t="s">
        <v>22</v>
      </c>
      <c r="F164">
        <v>200</v>
      </c>
      <c r="G164">
        <v>1</v>
      </c>
      <c r="H164">
        <v>20</v>
      </c>
      <c r="I164" t="s">
        <v>26</v>
      </c>
      <c r="J164" s="3">
        <v>699.63672299999996</v>
      </c>
      <c r="K164" s="3">
        <v>15413.79</v>
      </c>
      <c r="L164" s="3">
        <v>15413.79</v>
      </c>
      <c r="M164" s="3">
        <v>15413.79</v>
      </c>
      <c r="N164" s="3">
        <v>15143.349</v>
      </c>
      <c r="O164" s="4">
        <v>1.7859</v>
      </c>
      <c r="P164" s="4">
        <v>1.7859</v>
      </c>
      <c r="Q164" s="4">
        <v>1.7859</v>
      </c>
      <c r="R164" s="5">
        <v>1E-4</v>
      </c>
      <c r="S164">
        <v>1</v>
      </c>
      <c r="T164" t="b">
        <v>0</v>
      </c>
      <c r="U164">
        <v>1</v>
      </c>
      <c r="V164" s="4">
        <v>16.45</v>
      </c>
    </row>
    <row r="165" spans="1:22" hidden="1" x14ac:dyDescent="0.35">
      <c r="A165" t="s">
        <v>21</v>
      </c>
      <c r="B165">
        <v>2</v>
      </c>
      <c r="C165">
        <v>3</v>
      </c>
      <c r="D165">
        <v>10</v>
      </c>
      <c r="E165" t="s">
        <v>22</v>
      </c>
      <c r="F165">
        <v>200</v>
      </c>
      <c r="G165">
        <v>3</v>
      </c>
      <c r="H165">
        <v>20</v>
      </c>
      <c r="I165" t="s">
        <v>26</v>
      </c>
      <c r="J165" s="3">
        <v>698.92066299999999</v>
      </c>
      <c r="K165" s="3" t="s">
        <v>24</v>
      </c>
      <c r="L165" s="3" t="s">
        <v>24</v>
      </c>
      <c r="M165" s="3" t="s">
        <v>24</v>
      </c>
      <c r="N165" s="3">
        <v>15143.349</v>
      </c>
      <c r="O165" s="4"/>
      <c r="P165" s="4"/>
      <c r="Q165" s="4"/>
      <c r="R165" s="5">
        <v>0</v>
      </c>
      <c r="S165">
        <v>0</v>
      </c>
      <c r="T165" t="b">
        <v>1</v>
      </c>
      <c r="U165">
        <v>-1</v>
      </c>
      <c r="V165" s="4">
        <v>47.05</v>
      </c>
    </row>
    <row r="166" spans="1:22" hidden="1" x14ac:dyDescent="0.35">
      <c r="A166" t="s">
        <v>21</v>
      </c>
      <c r="B166">
        <v>2</v>
      </c>
      <c r="C166">
        <v>3</v>
      </c>
      <c r="D166">
        <v>10</v>
      </c>
      <c r="E166" t="s">
        <v>25</v>
      </c>
      <c r="F166">
        <v>50</v>
      </c>
      <c r="G166">
        <v>1</v>
      </c>
      <c r="H166">
        <v>20</v>
      </c>
      <c r="I166" t="s">
        <v>26</v>
      </c>
      <c r="J166" s="3">
        <v>745.19123000000002</v>
      </c>
      <c r="K166" s="3" t="s">
        <v>24</v>
      </c>
      <c r="L166" s="3" t="s">
        <v>24</v>
      </c>
      <c r="M166" s="3" t="s">
        <v>24</v>
      </c>
      <c r="N166" s="3">
        <v>15143.349</v>
      </c>
      <c r="O166" s="4"/>
      <c r="P166" s="4"/>
      <c r="Q166" s="4"/>
      <c r="R166" s="5">
        <v>0</v>
      </c>
      <c r="S166">
        <v>0</v>
      </c>
      <c r="T166" t="b">
        <v>1</v>
      </c>
      <c r="U166">
        <v>-1</v>
      </c>
      <c r="V166" s="4">
        <v>2.92</v>
      </c>
    </row>
    <row r="167" spans="1:22" hidden="1" x14ac:dyDescent="0.35">
      <c r="A167" t="s">
        <v>21</v>
      </c>
      <c r="B167">
        <v>2</v>
      </c>
      <c r="C167">
        <v>3</v>
      </c>
      <c r="D167">
        <v>10</v>
      </c>
      <c r="E167" t="s">
        <v>25</v>
      </c>
      <c r="F167">
        <v>50</v>
      </c>
      <c r="G167">
        <v>3</v>
      </c>
      <c r="H167">
        <v>20</v>
      </c>
      <c r="I167" t="s">
        <v>26</v>
      </c>
      <c r="J167" s="3">
        <v>738.11120100000005</v>
      </c>
      <c r="K167" s="3">
        <v>16775.592000000001</v>
      </c>
      <c r="L167" s="3">
        <v>16775.592000000001</v>
      </c>
      <c r="M167" s="3">
        <v>16775.592000000001</v>
      </c>
      <c r="N167" s="3">
        <v>15143.349</v>
      </c>
      <c r="O167" s="4">
        <v>10.778600000000001</v>
      </c>
      <c r="P167" s="4">
        <v>10.778600000000001</v>
      </c>
      <c r="Q167" s="4">
        <v>10.778600000000001</v>
      </c>
      <c r="R167" s="5">
        <v>2.0000000000000001E-4</v>
      </c>
      <c r="S167">
        <v>1</v>
      </c>
      <c r="T167" t="b">
        <v>0</v>
      </c>
      <c r="U167">
        <v>1</v>
      </c>
      <c r="V167" s="4">
        <v>7.66</v>
      </c>
    </row>
    <row r="168" spans="1:22" hidden="1" x14ac:dyDescent="0.35">
      <c r="A168" t="s">
        <v>21</v>
      </c>
      <c r="B168">
        <v>2</v>
      </c>
      <c r="C168">
        <v>3</v>
      </c>
      <c r="D168">
        <v>10</v>
      </c>
      <c r="E168" t="s">
        <v>25</v>
      </c>
      <c r="F168">
        <v>200</v>
      </c>
      <c r="G168">
        <v>1</v>
      </c>
      <c r="H168">
        <v>20</v>
      </c>
      <c r="I168" t="s">
        <v>26</v>
      </c>
      <c r="J168" s="3">
        <v>745.19123000000002</v>
      </c>
      <c r="K168" s="3" t="s">
        <v>24</v>
      </c>
      <c r="L168" s="3" t="s">
        <v>24</v>
      </c>
      <c r="M168" s="3" t="s">
        <v>24</v>
      </c>
      <c r="N168" s="3">
        <v>15143.349</v>
      </c>
      <c r="O168" s="4"/>
      <c r="P168" s="4"/>
      <c r="Q168" s="4"/>
      <c r="R168" s="5">
        <v>0</v>
      </c>
      <c r="S168">
        <v>0</v>
      </c>
      <c r="T168" t="b">
        <v>1</v>
      </c>
      <c r="U168">
        <v>-1</v>
      </c>
      <c r="V168" s="4">
        <v>2.92</v>
      </c>
    </row>
    <row r="169" spans="1:22" hidden="1" x14ac:dyDescent="0.35">
      <c r="A169" t="s">
        <v>21</v>
      </c>
      <c r="B169">
        <v>2</v>
      </c>
      <c r="C169">
        <v>3</v>
      </c>
      <c r="D169">
        <v>10</v>
      </c>
      <c r="E169" t="s">
        <v>25</v>
      </c>
      <c r="F169">
        <v>200</v>
      </c>
      <c r="G169">
        <v>3</v>
      </c>
      <c r="H169">
        <v>20</v>
      </c>
      <c r="I169" t="s">
        <v>26</v>
      </c>
      <c r="J169" s="3">
        <v>738.11120100000005</v>
      </c>
      <c r="K169" s="3">
        <v>16775.592000000001</v>
      </c>
      <c r="L169" s="3">
        <v>16775.592000000001</v>
      </c>
      <c r="M169" s="3">
        <v>16775.592000000001</v>
      </c>
      <c r="N169" s="3">
        <v>15143.349</v>
      </c>
      <c r="O169" s="4">
        <v>10.778600000000001</v>
      </c>
      <c r="P169" s="4">
        <v>10.778600000000001</v>
      </c>
      <c r="Q169" s="4">
        <v>10.778600000000001</v>
      </c>
      <c r="R169" s="5">
        <v>2.0000000000000001E-4</v>
      </c>
      <c r="S169">
        <v>1</v>
      </c>
      <c r="T169" t="b">
        <v>0</v>
      </c>
      <c r="U169">
        <v>1</v>
      </c>
      <c r="V169" s="4">
        <v>7.54</v>
      </c>
    </row>
    <row r="170" spans="1:22" hidden="1" x14ac:dyDescent="0.35">
      <c r="A170" t="s">
        <v>21</v>
      </c>
      <c r="B170">
        <v>2</v>
      </c>
      <c r="C170">
        <v>5</v>
      </c>
      <c r="D170">
        <v>2</v>
      </c>
      <c r="E170" t="s">
        <v>22</v>
      </c>
      <c r="F170">
        <v>50</v>
      </c>
      <c r="G170">
        <v>1</v>
      </c>
      <c r="H170">
        <v>20</v>
      </c>
      <c r="I170" t="s">
        <v>26</v>
      </c>
      <c r="J170" s="3">
        <v>147.88854699999999</v>
      </c>
      <c r="K170" s="3" t="s">
        <v>24</v>
      </c>
      <c r="L170" s="3" t="s">
        <v>24</v>
      </c>
      <c r="M170" s="3" t="s">
        <v>24</v>
      </c>
      <c r="N170" s="3">
        <v>15143.349</v>
      </c>
      <c r="O170" s="4"/>
      <c r="P170" s="4"/>
      <c r="Q170" s="4"/>
      <c r="R170" s="5">
        <v>0</v>
      </c>
      <c r="S170">
        <v>0</v>
      </c>
      <c r="T170" t="b">
        <v>1</v>
      </c>
      <c r="U170">
        <v>-1</v>
      </c>
      <c r="V170" s="4">
        <v>21.16</v>
      </c>
    </row>
    <row r="171" spans="1:22" hidden="1" x14ac:dyDescent="0.35">
      <c r="A171" t="s">
        <v>21</v>
      </c>
      <c r="B171">
        <v>2</v>
      </c>
      <c r="C171">
        <v>5</v>
      </c>
      <c r="D171">
        <v>2</v>
      </c>
      <c r="E171" t="s">
        <v>22</v>
      </c>
      <c r="F171">
        <v>50</v>
      </c>
      <c r="G171">
        <v>3</v>
      </c>
      <c r="H171">
        <v>20</v>
      </c>
      <c r="I171" t="s">
        <v>26</v>
      </c>
      <c r="J171" s="3">
        <v>73.679812999999996</v>
      </c>
      <c r="K171" s="3">
        <v>15143.349</v>
      </c>
      <c r="L171" s="3">
        <v>15427.937</v>
      </c>
      <c r="M171" s="3">
        <v>15143.349</v>
      </c>
      <c r="N171" s="3">
        <v>15143.349</v>
      </c>
      <c r="O171" s="4">
        <v>0</v>
      </c>
      <c r="P171" s="4">
        <v>1.8793</v>
      </c>
      <c r="Q171" s="4">
        <v>0</v>
      </c>
      <c r="R171" s="5">
        <v>1.4E-2</v>
      </c>
      <c r="S171">
        <v>33</v>
      </c>
      <c r="T171" t="b">
        <v>0</v>
      </c>
      <c r="U171">
        <v>8</v>
      </c>
      <c r="V171" s="4">
        <v>62.94</v>
      </c>
    </row>
    <row r="172" spans="1:22" hidden="1" x14ac:dyDescent="0.35">
      <c r="A172" t="s">
        <v>21</v>
      </c>
      <c r="B172">
        <v>2</v>
      </c>
      <c r="C172">
        <v>5</v>
      </c>
      <c r="D172">
        <v>2</v>
      </c>
      <c r="E172" t="s">
        <v>22</v>
      </c>
      <c r="F172">
        <v>200</v>
      </c>
      <c r="G172">
        <v>1</v>
      </c>
      <c r="H172">
        <v>20</v>
      </c>
      <c r="I172" t="s">
        <v>26</v>
      </c>
      <c r="J172" s="3">
        <v>147.51790600000001</v>
      </c>
      <c r="K172" s="3">
        <v>15957.231</v>
      </c>
      <c r="L172" s="3">
        <v>15957.231</v>
      </c>
      <c r="M172" s="3">
        <v>15957.231</v>
      </c>
      <c r="N172" s="3">
        <v>15143.349</v>
      </c>
      <c r="O172" s="4">
        <v>5.3745000000000003</v>
      </c>
      <c r="P172" s="4">
        <v>5.3745000000000003</v>
      </c>
      <c r="Q172" s="4">
        <v>5.3745000000000003</v>
      </c>
      <c r="R172" s="5">
        <v>1E-4</v>
      </c>
      <c r="S172">
        <v>1</v>
      </c>
      <c r="T172" t="b">
        <v>0</v>
      </c>
      <c r="U172">
        <v>1</v>
      </c>
      <c r="V172" s="4">
        <v>33.28</v>
      </c>
    </row>
    <row r="173" spans="1:22" hidden="1" x14ac:dyDescent="0.35">
      <c r="A173" t="s">
        <v>21</v>
      </c>
      <c r="B173">
        <v>2</v>
      </c>
      <c r="C173">
        <v>5</v>
      </c>
      <c r="D173">
        <v>2</v>
      </c>
      <c r="E173" t="s">
        <v>22</v>
      </c>
      <c r="F173">
        <v>200</v>
      </c>
      <c r="G173">
        <v>3</v>
      </c>
      <c r="H173">
        <v>20</v>
      </c>
      <c r="I173" t="s">
        <v>26</v>
      </c>
      <c r="J173" s="3">
        <v>47.102141000000003</v>
      </c>
      <c r="K173" s="3">
        <v>15427.937</v>
      </c>
      <c r="L173" s="3">
        <v>16623.59</v>
      </c>
      <c r="M173" s="3">
        <v>15143.349</v>
      </c>
      <c r="N173" s="3">
        <v>15143.349</v>
      </c>
      <c r="O173" s="4">
        <v>1.8793</v>
      </c>
      <c r="P173" s="4">
        <v>9.7749000000000006</v>
      </c>
      <c r="Q173" s="4">
        <v>0</v>
      </c>
      <c r="R173" s="5">
        <v>1.26E-2</v>
      </c>
      <c r="S173">
        <v>34</v>
      </c>
      <c r="T173" t="b">
        <v>0</v>
      </c>
      <c r="U173">
        <v>19</v>
      </c>
      <c r="V173" s="4">
        <v>120.1</v>
      </c>
    </row>
    <row r="174" spans="1:22" hidden="1" x14ac:dyDescent="0.35">
      <c r="A174" t="s">
        <v>21</v>
      </c>
      <c r="B174">
        <v>2</v>
      </c>
      <c r="C174">
        <v>5</v>
      </c>
      <c r="D174">
        <v>2</v>
      </c>
      <c r="E174" t="s">
        <v>25</v>
      </c>
      <c r="F174">
        <v>50</v>
      </c>
      <c r="G174">
        <v>1</v>
      </c>
      <c r="H174">
        <v>20</v>
      </c>
      <c r="I174" t="s">
        <v>26</v>
      </c>
      <c r="J174" s="3">
        <v>152.79931999999999</v>
      </c>
      <c r="K174" s="3">
        <v>17589.473999999998</v>
      </c>
      <c r="L174" s="3">
        <v>17589.473999999998</v>
      </c>
      <c r="M174" s="3">
        <v>17589.473999999998</v>
      </c>
      <c r="N174" s="3">
        <v>15143.349</v>
      </c>
      <c r="O174" s="4">
        <v>16.153099999999998</v>
      </c>
      <c r="P174" s="4">
        <v>16.153099999999998</v>
      </c>
      <c r="Q174" s="4">
        <v>16.153099999999998</v>
      </c>
      <c r="R174" s="5">
        <v>1E-4</v>
      </c>
      <c r="S174">
        <v>1</v>
      </c>
      <c r="T174" t="b">
        <v>0</v>
      </c>
      <c r="U174">
        <v>1</v>
      </c>
      <c r="V174" s="4">
        <v>5.54</v>
      </c>
    </row>
    <row r="175" spans="1:22" hidden="1" x14ac:dyDescent="0.35">
      <c r="A175" t="s">
        <v>21</v>
      </c>
      <c r="B175">
        <v>2</v>
      </c>
      <c r="C175">
        <v>5</v>
      </c>
      <c r="D175">
        <v>2</v>
      </c>
      <c r="E175" t="s">
        <v>25</v>
      </c>
      <c r="F175">
        <v>50</v>
      </c>
      <c r="G175">
        <v>3</v>
      </c>
      <c r="H175">
        <v>20</v>
      </c>
      <c r="I175" t="s">
        <v>26</v>
      </c>
      <c r="J175" s="3">
        <v>152.278021</v>
      </c>
      <c r="K175" s="3" t="s">
        <v>24</v>
      </c>
      <c r="L175" s="3" t="s">
        <v>24</v>
      </c>
      <c r="M175" s="3" t="s">
        <v>24</v>
      </c>
      <c r="N175" s="3">
        <v>15143.349</v>
      </c>
      <c r="O175" s="4"/>
      <c r="P175" s="4"/>
      <c r="Q175" s="4"/>
      <c r="R175" s="5">
        <v>0</v>
      </c>
      <c r="S175">
        <v>0</v>
      </c>
      <c r="T175" t="b">
        <v>1</v>
      </c>
      <c r="U175">
        <v>-1</v>
      </c>
      <c r="V175" s="4">
        <v>15.31</v>
      </c>
    </row>
    <row r="176" spans="1:22" hidden="1" x14ac:dyDescent="0.35">
      <c r="A176" t="s">
        <v>21</v>
      </c>
      <c r="B176">
        <v>2</v>
      </c>
      <c r="C176">
        <v>5</v>
      </c>
      <c r="D176">
        <v>2</v>
      </c>
      <c r="E176" t="s">
        <v>25</v>
      </c>
      <c r="F176">
        <v>200</v>
      </c>
      <c r="G176">
        <v>1</v>
      </c>
      <c r="H176">
        <v>20</v>
      </c>
      <c r="I176" t="s">
        <v>26</v>
      </c>
      <c r="J176" s="3">
        <v>152.79931999999999</v>
      </c>
      <c r="K176" s="3">
        <v>17589.473999999998</v>
      </c>
      <c r="L176" s="3">
        <v>17589.473999999998</v>
      </c>
      <c r="M176" s="3">
        <v>17589.473999999998</v>
      </c>
      <c r="N176" s="3">
        <v>15143.349</v>
      </c>
      <c r="O176" s="4">
        <v>16.153099999999998</v>
      </c>
      <c r="P176" s="4">
        <v>16.153099999999998</v>
      </c>
      <c r="Q176" s="4">
        <v>16.153099999999998</v>
      </c>
      <c r="R176" s="5">
        <v>1E-4</v>
      </c>
      <c r="S176">
        <v>1</v>
      </c>
      <c r="T176" t="b">
        <v>0</v>
      </c>
      <c r="U176">
        <v>1</v>
      </c>
      <c r="V176" s="4">
        <v>5.57</v>
      </c>
    </row>
    <row r="177" spans="1:22" hidden="1" x14ac:dyDescent="0.35">
      <c r="A177" t="s">
        <v>21</v>
      </c>
      <c r="B177">
        <v>2</v>
      </c>
      <c r="C177">
        <v>5</v>
      </c>
      <c r="D177">
        <v>2</v>
      </c>
      <c r="E177" t="s">
        <v>25</v>
      </c>
      <c r="F177">
        <v>200</v>
      </c>
      <c r="G177">
        <v>3</v>
      </c>
      <c r="H177">
        <v>20</v>
      </c>
      <c r="I177" t="s">
        <v>26</v>
      </c>
      <c r="J177" s="3">
        <v>152.278021</v>
      </c>
      <c r="K177" s="3" t="s">
        <v>24</v>
      </c>
      <c r="L177" s="3" t="s">
        <v>24</v>
      </c>
      <c r="M177" s="3" t="s">
        <v>24</v>
      </c>
      <c r="N177" s="3">
        <v>15143.349</v>
      </c>
      <c r="O177" s="4"/>
      <c r="P177" s="4"/>
      <c r="Q177" s="4"/>
      <c r="R177" s="5">
        <v>0</v>
      </c>
      <c r="S177">
        <v>0</v>
      </c>
      <c r="T177" t="b">
        <v>1</v>
      </c>
      <c r="U177">
        <v>-1</v>
      </c>
      <c r="V177" s="4">
        <v>15.47</v>
      </c>
    </row>
    <row r="178" spans="1:22" hidden="1" x14ac:dyDescent="0.35">
      <c r="A178" t="s">
        <v>21</v>
      </c>
      <c r="B178">
        <v>2</v>
      </c>
      <c r="C178">
        <v>5</v>
      </c>
      <c r="D178">
        <v>5</v>
      </c>
      <c r="E178" t="s">
        <v>22</v>
      </c>
      <c r="F178">
        <v>50</v>
      </c>
      <c r="G178">
        <v>1</v>
      </c>
      <c r="H178">
        <v>20</v>
      </c>
      <c r="I178" t="s">
        <v>26</v>
      </c>
      <c r="J178" s="3">
        <v>357.2235</v>
      </c>
      <c r="K178" s="3" t="s">
        <v>24</v>
      </c>
      <c r="L178" s="3" t="s">
        <v>24</v>
      </c>
      <c r="M178" s="3" t="s">
        <v>24</v>
      </c>
      <c r="N178" s="3">
        <v>15143.349</v>
      </c>
      <c r="O178" s="4"/>
      <c r="P178" s="4"/>
      <c r="Q178" s="4"/>
      <c r="R178" s="5">
        <v>0</v>
      </c>
      <c r="S178">
        <v>0</v>
      </c>
      <c r="T178" t="b">
        <v>1</v>
      </c>
      <c r="U178">
        <v>-1</v>
      </c>
      <c r="V178" s="4">
        <v>21.16</v>
      </c>
    </row>
    <row r="179" spans="1:22" hidden="1" x14ac:dyDescent="0.35">
      <c r="A179" t="s">
        <v>21</v>
      </c>
      <c r="B179">
        <v>2</v>
      </c>
      <c r="C179">
        <v>5</v>
      </c>
      <c r="D179">
        <v>5</v>
      </c>
      <c r="E179" t="s">
        <v>22</v>
      </c>
      <c r="F179">
        <v>50</v>
      </c>
      <c r="G179">
        <v>3</v>
      </c>
      <c r="H179">
        <v>20</v>
      </c>
      <c r="I179" t="s">
        <v>26</v>
      </c>
      <c r="J179" s="3">
        <v>168.25285400000001</v>
      </c>
      <c r="K179" s="3">
        <v>15143.349</v>
      </c>
      <c r="L179" s="3">
        <v>17060.18</v>
      </c>
      <c r="M179" s="3">
        <v>15143.349</v>
      </c>
      <c r="N179" s="3">
        <v>15143.349</v>
      </c>
      <c r="O179" s="4">
        <v>0</v>
      </c>
      <c r="P179" s="4">
        <v>12.6579</v>
      </c>
      <c r="Q179" s="4">
        <v>0</v>
      </c>
      <c r="R179" s="5">
        <v>1.0999999999999999E-2</v>
      </c>
      <c r="S179">
        <v>36</v>
      </c>
      <c r="T179" t="b">
        <v>0</v>
      </c>
      <c r="U179">
        <v>3</v>
      </c>
      <c r="V179" s="4">
        <v>62.46</v>
      </c>
    </row>
    <row r="180" spans="1:22" hidden="1" x14ac:dyDescent="0.35">
      <c r="A180" t="s">
        <v>21</v>
      </c>
      <c r="B180">
        <v>2</v>
      </c>
      <c r="C180">
        <v>5</v>
      </c>
      <c r="D180">
        <v>5</v>
      </c>
      <c r="E180" t="s">
        <v>22</v>
      </c>
      <c r="F180">
        <v>200</v>
      </c>
      <c r="G180">
        <v>1</v>
      </c>
      <c r="H180">
        <v>20</v>
      </c>
      <c r="I180" t="s">
        <v>26</v>
      </c>
      <c r="J180" s="3">
        <v>353.60954800000002</v>
      </c>
      <c r="K180" s="3" t="s">
        <v>24</v>
      </c>
      <c r="L180" s="3" t="s">
        <v>24</v>
      </c>
      <c r="M180" s="3" t="s">
        <v>24</v>
      </c>
      <c r="N180" s="3">
        <v>15143.349</v>
      </c>
      <c r="O180" s="4"/>
      <c r="P180" s="4"/>
      <c r="Q180" s="4"/>
      <c r="R180" s="5">
        <v>0</v>
      </c>
      <c r="S180">
        <v>0</v>
      </c>
      <c r="T180" t="b">
        <v>1</v>
      </c>
      <c r="U180">
        <v>-1</v>
      </c>
      <c r="V180" s="4">
        <v>33.5</v>
      </c>
    </row>
    <row r="181" spans="1:22" hidden="1" x14ac:dyDescent="0.35">
      <c r="A181" t="s">
        <v>21</v>
      </c>
      <c r="B181">
        <v>2</v>
      </c>
      <c r="C181">
        <v>5</v>
      </c>
      <c r="D181">
        <v>5</v>
      </c>
      <c r="E181" t="s">
        <v>22</v>
      </c>
      <c r="F181">
        <v>200</v>
      </c>
      <c r="G181">
        <v>3</v>
      </c>
      <c r="H181">
        <v>20</v>
      </c>
      <c r="I181" t="s">
        <v>26</v>
      </c>
      <c r="J181" s="3">
        <v>162.04385600000001</v>
      </c>
      <c r="K181" s="3">
        <v>15143.349</v>
      </c>
      <c r="L181" s="3">
        <v>15943.084000000001</v>
      </c>
      <c r="M181" s="3">
        <v>15143.349</v>
      </c>
      <c r="N181" s="3">
        <v>15143.349</v>
      </c>
      <c r="O181" s="4">
        <v>0</v>
      </c>
      <c r="P181" s="4">
        <v>5.2811000000000003</v>
      </c>
      <c r="Q181" s="4">
        <v>0</v>
      </c>
      <c r="R181" s="5">
        <v>9.9000000000000008E-3</v>
      </c>
      <c r="S181">
        <v>35</v>
      </c>
      <c r="T181" t="b">
        <v>0</v>
      </c>
      <c r="U181">
        <v>7</v>
      </c>
      <c r="V181" s="4">
        <v>112.94</v>
      </c>
    </row>
    <row r="182" spans="1:22" hidden="1" x14ac:dyDescent="0.35">
      <c r="A182" t="s">
        <v>21</v>
      </c>
      <c r="B182">
        <v>2</v>
      </c>
      <c r="C182">
        <v>5</v>
      </c>
      <c r="D182">
        <v>5</v>
      </c>
      <c r="E182" t="s">
        <v>25</v>
      </c>
      <c r="F182">
        <v>50</v>
      </c>
      <c r="G182">
        <v>1</v>
      </c>
      <c r="H182">
        <v>20</v>
      </c>
      <c r="I182" t="s">
        <v>26</v>
      </c>
      <c r="J182" s="3">
        <v>377.31981400000001</v>
      </c>
      <c r="K182" s="3">
        <v>16775.592000000001</v>
      </c>
      <c r="L182" s="3">
        <v>16775.592000000001</v>
      </c>
      <c r="M182" s="3">
        <v>16775.592000000001</v>
      </c>
      <c r="N182" s="3">
        <v>15143.349</v>
      </c>
      <c r="O182" s="4">
        <v>10.778600000000001</v>
      </c>
      <c r="P182" s="4">
        <v>10.778600000000001</v>
      </c>
      <c r="Q182" s="4">
        <v>10.778600000000001</v>
      </c>
      <c r="R182" s="5">
        <v>1E-4</v>
      </c>
      <c r="S182">
        <v>1</v>
      </c>
      <c r="T182" t="b">
        <v>0</v>
      </c>
      <c r="U182">
        <v>1</v>
      </c>
      <c r="V182" s="4">
        <v>5.47</v>
      </c>
    </row>
    <row r="183" spans="1:22" hidden="1" x14ac:dyDescent="0.35">
      <c r="A183" t="s">
        <v>21</v>
      </c>
      <c r="B183">
        <v>2</v>
      </c>
      <c r="C183">
        <v>5</v>
      </c>
      <c r="D183">
        <v>5</v>
      </c>
      <c r="E183" t="s">
        <v>25</v>
      </c>
      <c r="F183">
        <v>50</v>
      </c>
      <c r="G183">
        <v>3</v>
      </c>
      <c r="H183">
        <v>20</v>
      </c>
      <c r="I183" t="s">
        <v>26</v>
      </c>
      <c r="J183" s="3">
        <v>377.31981400000001</v>
      </c>
      <c r="K183" s="3">
        <v>16775.592000000001</v>
      </c>
      <c r="L183" s="3">
        <v>16775.592000000001</v>
      </c>
      <c r="M183" s="3">
        <v>16775.592000000001</v>
      </c>
      <c r="N183" s="3">
        <v>15143.349</v>
      </c>
      <c r="O183" s="4">
        <v>10.778600000000001</v>
      </c>
      <c r="P183" s="4">
        <v>10.778600000000001</v>
      </c>
      <c r="Q183" s="4">
        <v>10.778600000000001</v>
      </c>
      <c r="R183" s="5">
        <v>1E-4</v>
      </c>
      <c r="S183">
        <v>1</v>
      </c>
      <c r="T183" t="b">
        <v>0</v>
      </c>
      <c r="U183">
        <v>1</v>
      </c>
      <c r="V183" s="4">
        <v>15.54</v>
      </c>
    </row>
    <row r="184" spans="1:22" hidden="1" x14ac:dyDescent="0.35">
      <c r="A184" t="s">
        <v>21</v>
      </c>
      <c r="B184">
        <v>2</v>
      </c>
      <c r="C184">
        <v>5</v>
      </c>
      <c r="D184">
        <v>5</v>
      </c>
      <c r="E184" t="s">
        <v>25</v>
      </c>
      <c r="F184">
        <v>200</v>
      </c>
      <c r="G184">
        <v>1</v>
      </c>
      <c r="H184">
        <v>20</v>
      </c>
      <c r="I184" t="s">
        <v>26</v>
      </c>
      <c r="J184" s="3">
        <v>377.31981400000001</v>
      </c>
      <c r="K184" s="3">
        <v>16775.592000000001</v>
      </c>
      <c r="L184" s="3">
        <v>16775.592000000001</v>
      </c>
      <c r="M184" s="3">
        <v>16775.592000000001</v>
      </c>
      <c r="N184" s="3">
        <v>15143.349</v>
      </c>
      <c r="O184" s="4">
        <v>10.778600000000001</v>
      </c>
      <c r="P184" s="4">
        <v>10.778600000000001</v>
      </c>
      <c r="Q184" s="4">
        <v>10.778600000000001</v>
      </c>
      <c r="R184" s="5">
        <v>1E-4</v>
      </c>
      <c r="S184">
        <v>1</v>
      </c>
      <c r="T184" t="b">
        <v>0</v>
      </c>
      <c r="U184">
        <v>1</v>
      </c>
      <c r="V184" s="4">
        <v>5.58</v>
      </c>
    </row>
    <row r="185" spans="1:22" hidden="1" x14ac:dyDescent="0.35">
      <c r="A185" t="s">
        <v>21</v>
      </c>
      <c r="B185">
        <v>2</v>
      </c>
      <c r="C185">
        <v>5</v>
      </c>
      <c r="D185">
        <v>5</v>
      </c>
      <c r="E185" t="s">
        <v>25</v>
      </c>
      <c r="F185">
        <v>200</v>
      </c>
      <c r="G185">
        <v>3</v>
      </c>
      <c r="H185">
        <v>20</v>
      </c>
      <c r="I185" t="s">
        <v>26</v>
      </c>
      <c r="J185" s="3">
        <v>377.31981400000001</v>
      </c>
      <c r="K185" s="3">
        <v>16775.592000000001</v>
      </c>
      <c r="L185" s="3">
        <v>16775.592000000001</v>
      </c>
      <c r="M185" s="3">
        <v>16775.592000000001</v>
      </c>
      <c r="N185" s="3">
        <v>15143.349</v>
      </c>
      <c r="O185" s="4">
        <v>10.778600000000001</v>
      </c>
      <c r="P185" s="4">
        <v>10.778600000000001</v>
      </c>
      <c r="Q185" s="4">
        <v>10.778600000000001</v>
      </c>
      <c r="R185" s="5">
        <v>1E-4</v>
      </c>
      <c r="S185">
        <v>1</v>
      </c>
      <c r="T185" t="b">
        <v>0</v>
      </c>
      <c r="U185">
        <v>1</v>
      </c>
      <c r="V185" s="4">
        <v>15.28</v>
      </c>
    </row>
    <row r="186" spans="1:22" hidden="1" x14ac:dyDescent="0.35">
      <c r="A186" t="s">
        <v>21</v>
      </c>
      <c r="B186">
        <v>2</v>
      </c>
      <c r="C186">
        <v>5</v>
      </c>
      <c r="D186">
        <v>10</v>
      </c>
      <c r="E186" t="s">
        <v>22</v>
      </c>
      <c r="F186">
        <v>50</v>
      </c>
      <c r="G186">
        <v>1</v>
      </c>
      <c r="H186">
        <v>20</v>
      </c>
      <c r="I186" t="s">
        <v>26</v>
      </c>
      <c r="J186" s="3">
        <v>716.71531200000004</v>
      </c>
      <c r="K186" s="3">
        <v>16623.59</v>
      </c>
      <c r="L186" s="3">
        <v>16623.59</v>
      </c>
      <c r="M186" s="3">
        <v>16623.59</v>
      </c>
      <c r="N186" s="3">
        <v>15143.349</v>
      </c>
      <c r="O186" s="4">
        <v>9.7749000000000006</v>
      </c>
      <c r="P186" s="4">
        <v>9.7749000000000006</v>
      </c>
      <c r="Q186" s="4">
        <v>9.7749000000000006</v>
      </c>
      <c r="R186" s="5">
        <v>1E-4</v>
      </c>
      <c r="S186">
        <v>1</v>
      </c>
      <c r="T186" t="b">
        <v>0</v>
      </c>
      <c r="U186">
        <v>1</v>
      </c>
      <c r="V186" s="4">
        <v>21.45</v>
      </c>
    </row>
    <row r="187" spans="1:22" hidden="1" x14ac:dyDescent="0.35">
      <c r="A187" t="s">
        <v>21</v>
      </c>
      <c r="B187">
        <v>2</v>
      </c>
      <c r="C187">
        <v>5</v>
      </c>
      <c r="D187">
        <v>10</v>
      </c>
      <c r="E187" t="s">
        <v>22</v>
      </c>
      <c r="F187">
        <v>50</v>
      </c>
      <c r="G187">
        <v>3</v>
      </c>
      <c r="H187">
        <v>20</v>
      </c>
      <c r="I187" t="s">
        <v>26</v>
      </c>
      <c r="J187" s="3">
        <v>712.31941600000005</v>
      </c>
      <c r="K187" s="3">
        <v>16789.739000000001</v>
      </c>
      <c r="L187" s="3">
        <v>16789.739000000001</v>
      </c>
      <c r="M187" s="3">
        <v>16789.739000000001</v>
      </c>
      <c r="N187" s="3">
        <v>15143.349</v>
      </c>
      <c r="O187" s="4">
        <v>10.872</v>
      </c>
      <c r="P187" s="4">
        <v>10.872</v>
      </c>
      <c r="Q187" s="4">
        <v>10.872</v>
      </c>
      <c r="R187" s="5">
        <v>1E-4</v>
      </c>
      <c r="S187">
        <v>1</v>
      </c>
      <c r="T187" t="b">
        <v>0</v>
      </c>
      <c r="U187">
        <v>1</v>
      </c>
      <c r="V187" s="4">
        <v>62.43</v>
      </c>
    </row>
    <row r="188" spans="1:22" hidden="1" x14ac:dyDescent="0.35">
      <c r="A188" t="s">
        <v>21</v>
      </c>
      <c r="B188">
        <v>2</v>
      </c>
      <c r="C188">
        <v>5</v>
      </c>
      <c r="D188">
        <v>10</v>
      </c>
      <c r="E188" t="s">
        <v>22</v>
      </c>
      <c r="F188">
        <v>200</v>
      </c>
      <c r="G188">
        <v>1</v>
      </c>
      <c r="H188">
        <v>20</v>
      </c>
      <c r="I188" t="s">
        <v>26</v>
      </c>
      <c r="J188" s="3">
        <v>715.37904100000003</v>
      </c>
      <c r="K188" s="3">
        <v>16623.59</v>
      </c>
      <c r="L188" s="3">
        <v>16623.59</v>
      </c>
      <c r="M188" s="3">
        <v>16623.59</v>
      </c>
      <c r="N188" s="3">
        <v>15143.349</v>
      </c>
      <c r="O188" s="4">
        <v>9.7749000000000006</v>
      </c>
      <c r="P188" s="4">
        <v>9.7749000000000006</v>
      </c>
      <c r="Q188" s="4">
        <v>9.7749000000000006</v>
      </c>
      <c r="R188" s="5">
        <v>1E-4</v>
      </c>
      <c r="S188">
        <v>1</v>
      </c>
      <c r="T188" t="b">
        <v>0</v>
      </c>
      <c r="U188">
        <v>1</v>
      </c>
      <c r="V188" s="4">
        <v>33.630000000000003</v>
      </c>
    </row>
    <row r="189" spans="1:22" hidden="1" x14ac:dyDescent="0.35">
      <c r="A189" t="s">
        <v>21</v>
      </c>
      <c r="B189">
        <v>2</v>
      </c>
      <c r="C189">
        <v>5</v>
      </c>
      <c r="D189">
        <v>10</v>
      </c>
      <c r="E189" t="s">
        <v>22</v>
      </c>
      <c r="F189">
        <v>200</v>
      </c>
      <c r="G189">
        <v>3</v>
      </c>
      <c r="H189">
        <v>20</v>
      </c>
      <c r="I189" t="s">
        <v>26</v>
      </c>
      <c r="J189" s="3">
        <v>706.040616</v>
      </c>
      <c r="K189" s="3" t="s">
        <v>24</v>
      </c>
      <c r="L189" s="3" t="s">
        <v>24</v>
      </c>
      <c r="M189" s="3" t="s">
        <v>24</v>
      </c>
      <c r="N189" s="3">
        <v>15143.349</v>
      </c>
      <c r="O189" s="4"/>
      <c r="P189" s="4"/>
      <c r="Q189" s="4"/>
      <c r="R189" s="5">
        <v>0</v>
      </c>
      <c r="S189">
        <v>0</v>
      </c>
      <c r="T189" t="b">
        <v>1</v>
      </c>
      <c r="U189">
        <v>-1</v>
      </c>
      <c r="V189" s="4">
        <v>94.71</v>
      </c>
    </row>
    <row r="190" spans="1:22" hidden="1" x14ac:dyDescent="0.35">
      <c r="A190" t="s">
        <v>21</v>
      </c>
      <c r="B190">
        <v>2</v>
      </c>
      <c r="C190">
        <v>5</v>
      </c>
      <c r="D190">
        <v>10</v>
      </c>
      <c r="E190" t="s">
        <v>25</v>
      </c>
      <c r="F190">
        <v>50</v>
      </c>
      <c r="G190">
        <v>1</v>
      </c>
      <c r="H190">
        <v>20</v>
      </c>
      <c r="I190" t="s">
        <v>26</v>
      </c>
      <c r="J190" s="3">
        <v>748.70230100000003</v>
      </c>
      <c r="K190" s="3">
        <v>16789.739000000001</v>
      </c>
      <c r="L190" s="3">
        <v>16789.739000000001</v>
      </c>
      <c r="M190" s="3">
        <v>16789.739000000001</v>
      </c>
      <c r="N190" s="3">
        <v>15143.349</v>
      </c>
      <c r="O190" s="4">
        <v>10.872</v>
      </c>
      <c r="P190" s="4">
        <v>10.872</v>
      </c>
      <c r="Q190" s="4">
        <v>10.872</v>
      </c>
      <c r="R190" s="5">
        <v>1E-4</v>
      </c>
      <c r="S190">
        <v>1</v>
      </c>
      <c r="T190" t="b">
        <v>0</v>
      </c>
      <c r="U190">
        <v>1</v>
      </c>
      <c r="V190" s="4">
        <v>5.55</v>
      </c>
    </row>
    <row r="191" spans="1:22" hidden="1" x14ac:dyDescent="0.35">
      <c r="A191" t="s">
        <v>21</v>
      </c>
      <c r="B191">
        <v>2</v>
      </c>
      <c r="C191">
        <v>5</v>
      </c>
      <c r="D191">
        <v>10</v>
      </c>
      <c r="E191" t="s">
        <v>25</v>
      </c>
      <c r="F191">
        <v>50</v>
      </c>
      <c r="G191">
        <v>3</v>
      </c>
      <c r="H191">
        <v>20</v>
      </c>
      <c r="I191" t="s">
        <v>26</v>
      </c>
      <c r="J191" s="3">
        <v>748.70230100000003</v>
      </c>
      <c r="K191" s="3">
        <v>16789.739000000001</v>
      </c>
      <c r="L191" s="3">
        <v>16789.739000000001</v>
      </c>
      <c r="M191" s="3">
        <v>16789.739000000001</v>
      </c>
      <c r="N191" s="3">
        <v>15143.349</v>
      </c>
      <c r="O191" s="4">
        <v>10.872</v>
      </c>
      <c r="P191" s="4">
        <v>10.872</v>
      </c>
      <c r="Q191" s="4">
        <v>10.872</v>
      </c>
      <c r="R191" s="5">
        <v>1E-4</v>
      </c>
      <c r="S191">
        <v>1</v>
      </c>
      <c r="T191" t="b">
        <v>0</v>
      </c>
      <c r="U191">
        <v>1</v>
      </c>
      <c r="V191" s="4">
        <v>15.49</v>
      </c>
    </row>
    <row r="192" spans="1:22" hidden="1" x14ac:dyDescent="0.35">
      <c r="A192" t="s">
        <v>21</v>
      </c>
      <c r="B192">
        <v>2</v>
      </c>
      <c r="C192">
        <v>5</v>
      </c>
      <c r="D192">
        <v>10</v>
      </c>
      <c r="E192" t="s">
        <v>25</v>
      </c>
      <c r="F192">
        <v>200</v>
      </c>
      <c r="G192">
        <v>1</v>
      </c>
      <c r="H192">
        <v>20</v>
      </c>
      <c r="I192" t="s">
        <v>26</v>
      </c>
      <c r="J192" s="3">
        <v>748.70230100000003</v>
      </c>
      <c r="K192" s="3">
        <v>16789.739000000001</v>
      </c>
      <c r="L192" s="3">
        <v>16789.739000000001</v>
      </c>
      <c r="M192" s="3">
        <v>16789.739000000001</v>
      </c>
      <c r="N192" s="3">
        <v>15143.349</v>
      </c>
      <c r="O192" s="4">
        <v>10.872</v>
      </c>
      <c r="P192" s="4">
        <v>10.872</v>
      </c>
      <c r="Q192" s="4">
        <v>10.872</v>
      </c>
      <c r="R192" s="5">
        <v>1E-4</v>
      </c>
      <c r="S192">
        <v>1</v>
      </c>
      <c r="T192" t="b">
        <v>0</v>
      </c>
      <c r="U192">
        <v>1</v>
      </c>
      <c r="V192" s="4">
        <v>5.63</v>
      </c>
    </row>
    <row r="193" spans="1:22" hidden="1" x14ac:dyDescent="0.35">
      <c r="A193" t="s">
        <v>21</v>
      </c>
      <c r="B193">
        <v>2</v>
      </c>
      <c r="C193">
        <v>5</v>
      </c>
      <c r="D193">
        <v>10</v>
      </c>
      <c r="E193" t="s">
        <v>25</v>
      </c>
      <c r="F193">
        <v>200</v>
      </c>
      <c r="G193">
        <v>3</v>
      </c>
      <c r="H193">
        <v>20</v>
      </c>
      <c r="I193" t="s">
        <v>26</v>
      </c>
      <c r="J193" s="3">
        <v>748.70230100000003</v>
      </c>
      <c r="K193" s="3">
        <v>16789.739000000001</v>
      </c>
      <c r="L193" s="3">
        <v>16789.739000000001</v>
      </c>
      <c r="M193" s="3">
        <v>16789.739000000001</v>
      </c>
      <c r="N193" s="3">
        <v>15143.349</v>
      </c>
      <c r="O193" s="4">
        <v>10.872</v>
      </c>
      <c r="P193" s="4">
        <v>10.872</v>
      </c>
      <c r="Q193" s="4">
        <v>10.872</v>
      </c>
      <c r="R193" s="5">
        <v>1E-4</v>
      </c>
      <c r="S193">
        <v>1</v>
      </c>
      <c r="T193" t="b">
        <v>0</v>
      </c>
      <c r="U193">
        <v>1</v>
      </c>
      <c r="V193" s="4">
        <v>15.39</v>
      </c>
    </row>
    <row r="194" spans="1:22" hidden="1" x14ac:dyDescent="0.35">
      <c r="A194" t="s">
        <v>21</v>
      </c>
      <c r="B194">
        <v>3</v>
      </c>
      <c r="C194">
        <v>1</v>
      </c>
      <c r="D194">
        <v>2</v>
      </c>
      <c r="E194" t="s">
        <v>22</v>
      </c>
      <c r="F194">
        <v>50</v>
      </c>
      <c r="G194">
        <v>1</v>
      </c>
      <c r="H194">
        <v>20</v>
      </c>
      <c r="I194" t="s">
        <v>26</v>
      </c>
      <c r="J194" s="3">
        <v>58.972659999999998</v>
      </c>
      <c r="K194" s="3">
        <v>18342.582999999999</v>
      </c>
      <c r="L194" s="3">
        <v>18627.170999999998</v>
      </c>
      <c r="M194" s="3">
        <v>18342.582999999999</v>
      </c>
      <c r="N194" s="3">
        <v>18342.582999999999</v>
      </c>
      <c r="O194" s="4">
        <v>0</v>
      </c>
      <c r="P194" s="4">
        <v>1.5515000000000001</v>
      </c>
      <c r="Q194" s="4">
        <v>0</v>
      </c>
      <c r="R194" s="5">
        <v>4.4000000000000003E-3</v>
      </c>
      <c r="S194">
        <v>12</v>
      </c>
      <c r="T194" t="b">
        <v>0</v>
      </c>
      <c r="U194">
        <v>8</v>
      </c>
      <c r="V194" s="4">
        <v>6.52</v>
      </c>
    </row>
    <row r="195" spans="1:22" hidden="1" x14ac:dyDescent="0.35">
      <c r="A195" t="s">
        <v>21</v>
      </c>
      <c r="B195">
        <v>3</v>
      </c>
      <c r="C195">
        <v>1</v>
      </c>
      <c r="D195">
        <v>2</v>
      </c>
      <c r="E195" t="s">
        <v>22</v>
      </c>
      <c r="F195">
        <v>50</v>
      </c>
      <c r="G195">
        <v>3</v>
      </c>
      <c r="H195">
        <v>20</v>
      </c>
      <c r="I195" t="s">
        <v>26</v>
      </c>
      <c r="J195" s="3">
        <v>58.972659999999998</v>
      </c>
      <c r="K195" s="3">
        <v>18342.582999999999</v>
      </c>
      <c r="L195" s="3">
        <v>18627.170999999998</v>
      </c>
      <c r="M195" s="3">
        <v>18342.582999999999</v>
      </c>
      <c r="N195" s="3">
        <v>18342.582999999999</v>
      </c>
      <c r="O195" s="4">
        <v>0</v>
      </c>
      <c r="P195" s="4">
        <v>1.5515000000000001</v>
      </c>
      <c r="Q195" s="4">
        <v>0</v>
      </c>
      <c r="R195" s="5">
        <v>4.4000000000000003E-3</v>
      </c>
      <c r="S195">
        <v>12</v>
      </c>
      <c r="T195" t="b">
        <v>0</v>
      </c>
      <c r="U195">
        <v>8</v>
      </c>
      <c r="V195" s="4">
        <v>18.28</v>
      </c>
    </row>
    <row r="196" spans="1:22" hidden="1" x14ac:dyDescent="0.35">
      <c r="A196" t="s">
        <v>21</v>
      </c>
      <c r="B196">
        <v>3</v>
      </c>
      <c r="C196">
        <v>1</v>
      </c>
      <c r="D196">
        <v>2</v>
      </c>
      <c r="E196" t="s">
        <v>22</v>
      </c>
      <c r="F196">
        <v>200</v>
      </c>
      <c r="G196">
        <v>1</v>
      </c>
      <c r="H196">
        <v>20</v>
      </c>
      <c r="I196" t="s">
        <v>26</v>
      </c>
      <c r="J196" s="3">
        <v>58.972659999999998</v>
      </c>
      <c r="K196" s="3">
        <v>18342.582999999999</v>
      </c>
      <c r="L196" s="3">
        <v>18627.170999999998</v>
      </c>
      <c r="M196" s="3">
        <v>18342.582999999999</v>
      </c>
      <c r="N196" s="3">
        <v>18342.582999999999</v>
      </c>
      <c r="O196" s="4">
        <v>0</v>
      </c>
      <c r="P196" s="4">
        <v>1.5515000000000001</v>
      </c>
      <c r="Q196" s="4">
        <v>0</v>
      </c>
      <c r="R196" s="5">
        <v>4.4000000000000003E-3</v>
      </c>
      <c r="S196">
        <v>12</v>
      </c>
      <c r="T196" t="b">
        <v>0</v>
      </c>
      <c r="U196">
        <v>8</v>
      </c>
      <c r="V196" s="4">
        <v>6.54</v>
      </c>
    </row>
    <row r="197" spans="1:22" hidden="1" x14ac:dyDescent="0.35">
      <c r="A197" t="s">
        <v>21</v>
      </c>
      <c r="B197">
        <v>3</v>
      </c>
      <c r="C197">
        <v>1</v>
      </c>
      <c r="D197">
        <v>2</v>
      </c>
      <c r="E197" t="s">
        <v>22</v>
      </c>
      <c r="F197">
        <v>200</v>
      </c>
      <c r="G197">
        <v>3</v>
      </c>
      <c r="H197">
        <v>20</v>
      </c>
      <c r="I197" t="s">
        <v>26</v>
      </c>
      <c r="J197" s="3">
        <v>58.972659999999998</v>
      </c>
      <c r="K197" s="3">
        <v>18342.582999999999</v>
      </c>
      <c r="L197" s="3">
        <v>18627.170999999998</v>
      </c>
      <c r="M197" s="3">
        <v>18342.582999999999</v>
      </c>
      <c r="N197" s="3">
        <v>18342.582999999999</v>
      </c>
      <c r="O197" s="4">
        <v>0</v>
      </c>
      <c r="P197" s="4">
        <v>1.5515000000000001</v>
      </c>
      <c r="Q197" s="4">
        <v>0</v>
      </c>
      <c r="R197" s="5">
        <v>4.4000000000000003E-3</v>
      </c>
      <c r="S197">
        <v>12</v>
      </c>
      <c r="T197" t="b">
        <v>0</v>
      </c>
      <c r="U197">
        <v>8</v>
      </c>
      <c r="V197" s="4">
        <v>18.22</v>
      </c>
    </row>
    <row r="198" spans="1:22" hidden="1" x14ac:dyDescent="0.35">
      <c r="A198" t="s">
        <v>21</v>
      </c>
      <c r="B198">
        <v>3</v>
      </c>
      <c r="C198">
        <v>1</v>
      </c>
      <c r="D198">
        <v>2</v>
      </c>
      <c r="E198" t="s">
        <v>25</v>
      </c>
      <c r="F198">
        <v>50</v>
      </c>
      <c r="G198">
        <v>1</v>
      </c>
      <c r="H198">
        <v>20</v>
      </c>
      <c r="I198" t="s">
        <v>26</v>
      </c>
      <c r="J198" s="3">
        <v>168.61956599999999</v>
      </c>
      <c r="K198" s="3">
        <v>18342.582999999999</v>
      </c>
      <c r="L198" s="3">
        <v>19988.973000000002</v>
      </c>
      <c r="M198" s="3">
        <v>18342.582999999999</v>
      </c>
      <c r="N198" s="3">
        <v>18342.582999999999</v>
      </c>
      <c r="O198" s="4">
        <v>0</v>
      </c>
      <c r="P198" s="4">
        <v>8.9757999999999996</v>
      </c>
      <c r="Q198" s="4">
        <v>0</v>
      </c>
      <c r="R198" s="5">
        <v>2.0000000000000001E-4</v>
      </c>
      <c r="S198">
        <v>2</v>
      </c>
      <c r="T198" t="b">
        <v>0</v>
      </c>
      <c r="U198">
        <v>2</v>
      </c>
      <c r="V198" s="4">
        <v>1.1599999999999999</v>
      </c>
    </row>
    <row r="199" spans="1:22" hidden="1" x14ac:dyDescent="0.35">
      <c r="A199" t="s">
        <v>21</v>
      </c>
      <c r="B199">
        <v>3</v>
      </c>
      <c r="C199">
        <v>1</v>
      </c>
      <c r="D199">
        <v>2</v>
      </c>
      <c r="E199" t="s">
        <v>25</v>
      </c>
      <c r="F199">
        <v>50</v>
      </c>
      <c r="G199">
        <v>3</v>
      </c>
      <c r="H199">
        <v>20</v>
      </c>
      <c r="I199" t="s">
        <v>26</v>
      </c>
      <c r="J199" s="3">
        <v>164.99195700000001</v>
      </c>
      <c r="K199" s="3">
        <v>18627.170999999998</v>
      </c>
      <c r="L199" s="3">
        <v>18627.170999999998</v>
      </c>
      <c r="M199" s="3">
        <v>18627.170999999998</v>
      </c>
      <c r="N199" s="3">
        <v>18342.582999999999</v>
      </c>
      <c r="O199" s="4">
        <v>1.5515000000000001</v>
      </c>
      <c r="P199" s="4">
        <v>1.5515000000000001</v>
      </c>
      <c r="Q199" s="4">
        <v>1.5515000000000001</v>
      </c>
      <c r="R199" s="5">
        <v>1E-4</v>
      </c>
      <c r="S199">
        <v>1</v>
      </c>
      <c r="T199" t="b">
        <v>0</v>
      </c>
      <c r="U199">
        <v>1</v>
      </c>
      <c r="V199" s="4">
        <v>2.7</v>
      </c>
    </row>
    <row r="200" spans="1:22" hidden="1" x14ac:dyDescent="0.35">
      <c r="A200" t="s">
        <v>21</v>
      </c>
      <c r="B200">
        <v>3</v>
      </c>
      <c r="C200">
        <v>1</v>
      </c>
      <c r="D200">
        <v>2</v>
      </c>
      <c r="E200" t="s">
        <v>25</v>
      </c>
      <c r="F200">
        <v>200</v>
      </c>
      <c r="G200">
        <v>1</v>
      </c>
      <c r="H200">
        <v>20</v>
      </c>
      <c r="I200" t="s">
        <v>26</v>
      </c>
      <c r="J200" s="3">
        <v>168.61956599999999</v>
      </c>
      <c r="K200" s="3">
        <v>18342.582999999999</v>
      </c>
      <c r="L200" s="3">
        <v>19988.973000000002</v>
      </c>
      <c r="M200" s="3">
        <v>18342.582999999999</v>
      </c>
      <c r="N200" s="3">
        <v>18342.582999999999</v>
      </c>
      <c r="O200" s="4">
        <v>0</v>
      </c>
      <c r="P200" s="4">
        <v>8.9757999999999996</v>
      </c>
      <c r="Q200" s="4">
        <v>0</v>
      </c>
      <c r="R200" s="5">
        <v>2.0000000000000001E-4</v>
      </c>
      <c r="S200">
        <v>2</v>
      </c>
      <c r="T200" t="b">
        <v>0</v>
      </c>
      <c r="U200">
        <v>2</v>
      </c>
      <c r="V200" s="4">
        <v>1.1499999999999999</v>
      </c>
    </row>
    <row r="201" spans="1:22" hidden="1" x14ac:dyDescent="0.35">
      <c r="A201" t="s">
        <v>21</v>
      </c>
      <c r="B201">
        <v>3</v>
      </c>
      <c r="C201">
        <v>1</v>
      </c>
      <c r="D201">
        <v>2</v>
      </c>
      <c r="E201" t="s">
        <v>25</v>
      </c>
      <c r="F201">
        <v>200</v>
      </c>
      <c r="G201">
        <v>3</v>
      </c>
      <c r="H201">
        <v>20</v>
      </c>
      <c r="I201" t="s">
        <v>26</v>
      </c>
      <c r="J201" s="3">
        <v>164.99195700000001</v>
      </c>
      <c r="K201" s="3">
        <v>18627.170999999998</v>
      </c>
      <c r="L201" s="3">
        <v>18627.170999999998</v>
      </c>
      <c r="M201" s="3">
        <v>18627.170999999998</v>
      </c>
      <c r="N201" s="3">
        <v>18342.582999999999</v>
      </c>
      <c r="O201" s="4">
        <v>1.5515000000000001</v>
      </c>
      <c r="P201" s="4">
        <v>1.5515000000000001</v>
      </c>
      <c r="Q201" s="4">
        <v>1.5515000000000001</v>
      </c>
      <c r="R201" s="5">
        <v>1E-4</v>
      </c>
      <c r="S201">
        <v>1</v>
      </c>
      <c r="T201" t="b">
        <v>0</v>
      </c>
      <c r="U201">
        <v>1</v>
      </c>
      <c r="V201" s="4">
        <v>2.64</v>
      </c>
    </row>
    <row r="202" spans="1:22" hidden="1" x14ac:dyDescent="0.35">
      <c r="A202" t="s">
        <v>21</v>
      </c>
      <c r="B202">
        <v>3</v>
      </c>
      <c r="C202">
        <v>1</v>
      </c>
      <c r="D202">
        <v>5</v>
      </c>
      <c r="E202" t="s">
        <v>22</v>
      </c>
      <c r="F202">
        <v>50</v>
      </c>
      <c r="G202">
        <v>1</v>
      </c>
      <c r="H202">
        <v>20</v>
      </c>
      <c r="I202" t="s">
        <v>26</v>
      </c>
      <c r="J202" s="3">
        <v>143.909616</v>
      </c>
      <c r="K202" s="3">
        <v>18342.582999999999</v>
      </c>
      <c r="L202" s="3">
        <v>18356.73</v>
      </c>
      <c r="M202" s="3">
        <v>18342.582999999999</v>
      </c>
      <c r="N202" s="3">
        <v>18342.582999999999</v>
      </c>
      <c r="O202" s="4">
        <v>0</v>
      </c>
      <c r="P202" s="4">
        <v>7.7100000000000002E-2</v>
      </c>
      <c r="Q202" s="4">
        <v>0</v>
      </c>
      <c r="R202" s="5">
        <v>3.8999999999999998E-3</v>
      </c>
      <c r="S202">
        <v>12</v>
      </c>
      <c r="T202" t="b">
        <v>0</v>
      </c>
      <c r="U202">
        <v>3</v>
      </c>
      <c r="V202" s="4">
        <v>6.67</v>
      </c>
    </row>
    <row r="203" spans="1:22" hidden="1" x14ac:dyDescent="0.35">
      <c r="A203" t="s">
        <v>21</v>
      </c>
      <c r="B203">
        <v>3</v>
      </c>
      <c r="C203">
        <v>1</v>
      </c>
      <c r="D203">
        <v>5</v>
      </c>
      <c r="E203" t="s">
        <v>22</v>
      </c>
      <c r="F203">
        <v>50</v>
      </c>
      <c r="G203">
        <v>3</v>
      </c>
      <c r="H203">
        <v>20</v>
      </c>
      <c r="I203" t="s">
        <v>26</v>
      </c>
      <c r="J203" s="3">
        <v>143.909616</v>
      </c>
      <c r="K203" s="3">
        <v>18342.582999999999</v>
      </c>
      <c r="L203" s="3">
        <v>18356.73</v>
      </c>
      <c r="M203" s="3">
        <v>18342.582999999999</v>
      </c>
      <c r="N203" s="3">
        <v>18342.582999999999</v>
      </c>
      <c r="O203" s="4">
        <v>0</v>
      </c>
      <c r="P203" s="4">
        <v>7.7100000000000002E-2</v>
      </c>
      <c r="Q203" s="4">
        <v>0</v>
      </c>
      <c r="R203" s="5">
        <v>3.8999999999999998E-3</v>
      </c>
      <c r="S203">
        <v>12</v>
      </c>
      <c r="T203" t="b">
        <v>0</v>
      </c>
      <c r="U203">
        <v>3</v>
      </c>
      <c r="V203" s="4">
        <v>18.45</v>
      </c>
    </row>
    <row r="204" spans="1:22" hidden="1" x14ac:dyDescent="0.35">
      <c r="A204" t="s">
        <v>21</v>
      </c>
      <c r="B204">
        <v>3</v>
      </c>
      <c r="C204">
        <v>1</v>
      </c>
      <c r="D204">
        <v>5</v>
      </c>
      <c r="E204" t="s">
        <v>22</v>
      </c>
      <c r="F204">
        <v>200</v>
      </c>
      <c r="G204">
        <v>1</v>
      </c>
      <c r="H204">
        <v>20</v>
      </c>
      <c r="I204" t="s">
        <v>26</v>
      </c>
      <c r="J204" s="3">
        <v>143.909616</v>
      </c>
      <c r="K204" s="3">
        <v>18342.582999999999</v>
      </c>
      <c r="L204" s="3">
        <v>18356.73</v>
      </c>
      <c r="M204" s="3">
        <v>18342.582999999999</v>
      </c>
      <c r="N204" s="3">
        <v>18342.582999999999</v>
      </c>
      <c r="O204" s="4">
        <v>0</v>
      </c>
      <c r="P204" s="4">
        <v>7.7100000000000002E-2</v>
      </c>
      <c r="Q204" s="4">
        <v>0</v>
      </c>
      <c r="R204" s="5">
        <v>3.8999999999999998E-3</v>
      </c>
      <c r="S204">
        <v>12</v>
      </c>
      <c r="T204" t="b">
        <v>0</v>
      </c>
      <c r="U204">
        <v>3</v>
      </c>
      <c r="V204" s="4">
        <v>6.84</v>
      </c>
    </row>
    <row r="205" spans="1:22" hidden="1" x14ac:dyDescent="0.35">
      <c r="A205" t="s">
        <v>21</v>
      </c>
      <c r="B205">
        <v>3</v>
      </c>
      <c r="C205">
        <v>1</v>
      </c>
      <c r="D205">
        <v>5</v>
      </c>
      <c r="E205" t="s">
        <v>22</v>
      </c>
      <c r="F205">
        <v>200</v>
      </c>
      <c r="G205">
        <v>3</v>
      </c>
      <c r="H205">
        <v>20</v>
      </c>
      <c r="I205" t="s">
        <v>26</v>
      </c>
      <c r="J205" s="3">
        <v>143.909616</v>
      </c>
      <c r="K205" s="3">
        <v>18342.582999999999</v>
      </c>
      <c r="L205" s="3">
        <v>18356.73</v>
      </c>
      <c r="M205" s="3">
        <v>18342.582999999999</v>
      </c>
      <c r="N205" s="3">
        <v>18342.582999999999</v>
      </c>
      <c r="O205" s="4">
        <v>0</v>
      </c>
      <c r="P205" s="4">
        <v>7.7100000000000002E-2</v>
      </c>
      <c r="Q205" s="4">
        <v>0</v>
      </c>
      <c r="R205" s="5">
        <v>3.8999999999999998E-3</v>
      </c>
      <c r="S205">
        <v>12</v>
      </c>
      <c r="T205" t="b">
        <v>0</v>
      </c>
      <c r="U205">
        <v>3</v>
      </c>
      <c r="V205" s="4">
        <v>18.260000000000002</v>
      </c>
    </row>
    <row r="206" spans="1:22" hidden="1" x14ac:dyDescent="0.35">
      <c r="A206" t="s">
        <v>21</v>
      </c>
      <c r="B206">
        <v>3</v>
      </c>
      <c r="C206">
        <v>1</v>
      </c>
      <c r="D206">
        <v>5</v>
      </c>
      <c r="E206" t="s">
        <v>25</v>
      </c>
      <c r="F206">
        <v>50</v>
      </c>
      <c r="G206">
        <v>1</v>
      </c>
      <c r="H206">
        <v>20</v>
      </c>
      <c r="I206" t="s">
        <v>26</v>
      </c>
      <c r="J206" s="3">
        <v>421.65165000000002</v>
      </c>
      <c r="K206" s="3">
        <v>18342.582999999999</v>
      </c>
      <c r="L206" s="3">
        <v>18356.73</v>
      </c>
      <c r="M206" s="3">
        <v>18342.582999999999</v>
      </c>
      <c r="N206" s="3">
        <v>18342.582999999999</v>
      </c>
      <c r="O206" s="4">
        <v>0</v>
      </c>
      <c r="P206" s="4">
        <v>7.7100000000000002E-2</v>
      </c>
      <c r="Q206" s="4">
        <v>0</v>
      </c>
      <c r="R206" s="5">
        <v>2.9999999999999997E-4</v>
      </c>
      <c r="S206">
        <v>3</v>
      </c>
      <c r="T206" t="b">
        <v>0</v>
      </c>
      <c r="U206">
        <v>2</v>
      </c>
      <c r="V206" s="4">
        <v>1.1299999999999999</v>
      </c>
    </row>
    <row r="207" spans="1:22" hidden="1" x14ac:dyDescent="0.35">
      <c r="A207" t="s">
        <v>21</v>
      </c>
      <c r="B207">
        <v>3</v>
      </c>
      <c r="C207">
        <v>1</v>
      </c>
      <c r="D207">
        <v>5</v>
      </c>
      <c r="E207" t="s">
        <v>25</v>
      </c>
      <c r="F207">
        <v>50</v>
      </c>
      <c r="G207">
        <v>3</v>
      </c>
      <c r="H207">
        <v>20</v>
      </c>
      <c r="I207" t="s">
        <v>26</v>
      </c>
      <c r="J207" s="3">
        <v>402.23841399999998</v>
      </c>
      <c r="K207" s="3" t="s">
        <v>24</v>
      </c>
      <c r="L207" s="3" t="s">
        <v>24</v>
      </c>
      <c r="M207" s="3" t="s">
        <v>24</v>
      </c>
      <c r="N207" s="3">
        <v>18342.582999999999</v>
      </c>
      <c r="O207" s="4"/>
      <c r="P207" s="4"/>
      <c r="Q207" s="4"/>
      <c r="R207" s="5">
        <v>0</v>
      </c>
      <c r="S207">
        <v>0</v>
      </c>
      <c r="T207" t="b">
        <v>1</v>
      </c>
      <c r="U207">
        <v>-1</v>
      </c>
      <c r="V207" s="4">
        <v>2.74</v>
      </c>
    </row>
    <row r="208" spans="1:22" hidden="1" x14ac:dyDescent="0.35">
      <c r="A208" t="s">
        <v>21</v>
      </c>
      <c r="B208">
        <v>3</v>
      </c>
      <c r="C208">
        <v>1</v>
      </c>
      <c r="D208">
        <v>5</v>
      </c>
      <c r="E208" t="s">
        <v>25</v>
      </c>
      <c r="F208">
        <v>200</v>
      </c>
      <c r="G208">
        <v>1</v>
      </c>
      <c r="H208">
        <v>20</v>
      </c>
      <c r="I208" t="s">
        <v>26</v>
      </c>
      <c r="J208" s="3">
        <v>421.65165000000002</v>
      </c>
      <c r="K208" s="3">
        <v>18342.582999999999</v>
      </c>
      <c r="L208" s="3">
        <v>18356.73</v>
      </c>
      <c r="M208" s="3">
        <v>18342.582999999999</v>
      </c>
      <c r="N208" s="3">
        <v>18342.582999999999</v>
      </c>
      <c r="O208" s="4">
        <v>0</v>
      </c>
      <c r="P208" s="4">
        <v>7.7100000000000002E-2</v>
      </c>
      <c r="Q208" s="4">
        <v>0</v>
      </c>
      <c r="R208" s="5">
        <v>2.9999999999999997E-4</v>
      </c>
      <c r="S208">
        <v>3</v>
      </c>
      <c r="T208" t="b">
        <v>0</v>
      </c>
      <c r="U208">
        <v>2</v>
      </c>
      <c r="V208" s="4">
        <v>1.18</v>
      </c>
    </row>
    <row r="209" spans="1:22" hidden="1" x14ac:dyDescent="0.35">
      <c r="A209" t="s">
        <v>21</v>
      </c>
      <c r="B209">
        <v>3</v>
      </c>
      <c r="C209">
        <v>1</v>
      </c>
      <c r="D209">
        <v>5</v>
      </c>
      <c r="E209" t="s">
        <v>25</v>
      </c>
      <c r="F209">
        <v>200</v>
      </c>
      <c r="G209">
        <v>3</v>
      </c>
      <c r="H209">
        <v>20</v>
      </c>
      <c r="I209" t="s">
        <v>26</v>
      </c>
      <c r="J209" s="3">
        <v>402.23841399999998</v>
      </c>
      <c r="K209" s="3" t="s">
        <v>24</v>
      </c>
      <c r="L209" s="3" t="s">
        <v>24</v>
      </c>
      <c r="M209" s="3" t="s">
        <v>24</v>
      </c>
      <c r="N209" s="3">
        <v>18342.582999999999</v>
      </c>
      <c r="O209" s="4"/>
      <c r="P209" s="4"/>
      <c r="Q209" s="4"/>
      <c r="R209" s="5">
        <v>0</v>
      </c>
      <c r="S209">
        <v>0</v>
      </c>
      <c r="T209" t="b">
        <v>1</v>
      </c>
      <c r="U209">
        <v>-1</v>
      </c>
      <c r="V209" s="4">
        <v>2.67</v>
      </c>
    </row>
    <row r="210" spans="1:22" hidden="1" x14ac:dyDescent="0.35">
      <c r="A210" t="s">
        <v>21</v>
      </c>
      <c r="B210">
        <v>3</v>
      </c>
      <c r="C210">
        <v>1</v>
      </c>
      <c r="D210">
        <v>10</v>
      </c>
      <c r="E210" t="s">
        <v>22</v>
      </c>
      <c r="F210">
        <v>50</v>
      </c>
      <c r="G210">
        <v>1</v>
      </c>
      <c r="H210">
        <v>20</v>
      </c>
      <c r="I210" t="s">
        <v>26</v>
      </c>
      <c r="J210" s="3">
        <v>282.63738000000001</v>
      </c>
      <c r="K210" s="3">
        <v>18356.73</v>
      </c>
      <c r="L210" s="3">
        <v>19023.089</v>
      </c>
      <c r="M210" s="3">
        <v>18342.582999999999</v>
      </c>
      <c r="N210" s="3">
        <v>18342.582999999999</v>
      </c>
      <c r="O210" s="4">
        <v>7.7100000000000002E-2</v>
      </c>
      <c r="P210" s="4">
        <v>3.71</v>
      </c>
      <c r="Q210" s="4">
        <v>0</v>
      </c>
      <c r="R210" s="5">
        <v>4.7999999999999996E-3</v>
      </c>
      <c r="S210">
        <v>12</v>
      </c>
      <c r="T210" t="b">
        <v>0</v>
      </c>
      <c r="U210">
        <v>11</v>
      </c>
      <c r="V210" s="4">
        <v>6.38</v>
      </c>
    </row>
    <row r="211" spans="1:22" hidden="1" x14ac:dyDescent="0.35">
      <c r="A211" t="s">
        <v>21</v>
      </c>
      <c r="B211">
        <v>3</v>
      </c>
      <c r="C211">
        <v>1</v>
      </c>
      <c r="D211">
        <v>10</v>
      </c>
      <c r="E211" t="s">
        <v>22</v>
      </c>
      <c r="F211">
        <v>50</v>
      </c>
      <c r="G211">
        <v>3</v>
      </c>
      <c r="H211">
        <v>20</v>
      </c>
      <c r="I211" t="s">
        <v>26</v>
      </c>
      <c r="J211" s="3">
        <v>282.63738000000001</v>
      </c>
      <c r="K211" s="3">
        <v>18356.73</v>
      </c>
      <c r="L211" s="3">
        <v>19023.089</v>
      </c>
      <c r="M211" s="3">
        <v>18342.582999999999</v>
      </c>
      <c r="N211" s="3">
        <v>18342.582999999999</v>
      </c>
      <c r="O211" s="4">
        <v>7.7100000000000002E-2</v>
      </c>
      <c r="P211" s="4">
        <v>3.71</v>
      </c>
      <c r="Q211" s="4">
        <v>0</v>
      </c>
      <c r="R211" s="5">
        <v>4.7999999999999996E-3</v>
      </c>
      <c r="S211">
        <v>12</v>
      </c>
      <c r="T211" t="b">
        <v>0</v>
      </c>
      <c r="U211">
        <v>11</v>
      </c>
      <c r="V211" s="4">
        <v>17.43</v>
      </c>
    </row>
    <row r="212" spans="1:22" hidden="1" x14ac:dyDescent="0.35">
      <c r="A212" t="s">
        <v>21</v>
      </c>
      <c r="B212">
        <v>3</v>
      </c>
      <c r="C212">
        <v>1</v>
      </c>
      <c r="D212">
        <v>10</v>
      </c>
      <c r="E212" t="s">
        <v>22</v>
      </c>
      <c r="F212">
        <v>200</v>
      </c>
      <c r="G212">
        <v>1</v>
      </c>
      <c r="H212">
        <v>20</v>
      </c>
      <c r="I212" t="s">
        <v>26</v>
      </c>
      <c r="J212" s="3">
        <v>282.63738000000001</v>
      </c>
      <c r="K212" s="3">
        <v>18356.73</v>
      </c>
      <c r="L212" s="3">
        <v>19023.089</v>
      </c>
      <c r="M212" s="3">
        <v>18342.582999999999</v>
      </c>
      <c r="N212" s="3">
        <v>18342.582999999999</v>
      </c>
      <c r="O212" s="4">
        <v>7.7100000000000002E-2</v>
      </c>
      <c r="P212" s="4">
        <v>3.71</v>
      </c>
      <c r="Q212" s="4">
        <v>0</v>
      </c>
      <c r="R212" s="5">
        <v>4.7999999999999996E-3</v>
      </c>
      <c r="S212">
        <v>12</v>
      </c>
      <c r="T212" t="b">
        <v>0</v>
      </c>
      <c r="U212">
        <v>11</v>
      </c>
      <c r="V212" s="4">
        <v>6.7</v>
      </c>
    </row>
    <row r="213" spans="1:22" hidden="1" x14ac:dyDescent="0.35">
      <c r="A213" t="s">
        <v>21</v>
      </c>
      <c r="B213">
        <v>3</v>
      </c>
      <c r="C213">
        <v>1</v>
      </c>
      <c r="D213">
        <v>10</v>
      </c>
      <c r="E213" t="s">
        <v>22</v>
      </c>
      <c r="F213">
        <v>200</v>
      </c>
      <c r="G213">
        <v>3</v>
      </c>
      <c r="H213">
        <v>20</v>
      </c>
      <c r="I213" t="s">
        <v>26</v>
      </c>
      <c r="J213" s="3">
        <v>282.63738000000001</v>
      </c>
      <c r="K213" s="3">
        <v>18356.73</v>
      </c>
      <c r="L213" s="3">
        <v>19023.089</v>
      </c>
      <c r="M213" s="3">
        <v>18342.582999999999</v>
      </c>
      <c r="N213" s="3">
        <v>18342.582999999999</v>
      </c>
      <c r="O213" s="4">
        <v>7.7100000000000002E-2</v>
      </c>
      <c r="P213" s="4">
        <v>3.71</v>
      </c>
      <c r="Q213" s="4">
        <v>0</v>
      </c>
      <c r="R213" s="5">
        <v>4.7999999999999996E-3</v>
      </c>
      <c r="S213">
        <v>12</v>
      </c>
      <c r="T213" t="b">
        <v>0</v>
      </c>
      <c r="U213">
        <v>11</v>
      </c>
      <c r="V213" s="4">
        <v>17.59</v>
      </c>
    </row>
    <row r="214" spans="1:22" hidden="1" x14ac:dyDescent="0.35">
      <c r="A214" t="s">
        <v>21</v>
      </c>
      <c r="B214">
        <v>3</v>
      </c>
      <c r="C214">
        <v>1</v>
      </c>
      <c r="D214">
        <v>10</v>
      </c>
      <c r="E214" t="s">
        <v>25</v>
      </c>
      <c r="F214">
        <v>50</v>
      </c>
      <c r="G214">
        <v>1</v>
      </c>
      <c r="H214">
        <v>20</v>
      </c>
      <c r="I214" t="s">
        <v>26</v>
      </c>
      <c r="J214" s="3">
        <v>841.61059999999998</v>
      </c>
      <c r="K214" s="3">
        <v>18342.582999999999</v>
      </c>
      <c r="L214" s="3">
        <v>19156.465</v>
      </c>
      <c r="M214" s="3">
        <v>18342.582999999999</v>
      </c>
      <c r="N214" s="3">
        <v>18342.582999999999</v>
      </c>
      <c r="O214" s="4">
        <v>0</v>
      </c>
      <c r="P214" s="4">
        <v>4.4371</v>
      </c>
      <c r="Q214" s="4">
        <v>0</v>
      </c>
      <c r="R214" s="5">
        <v>5.0000000000000001E-4</v>
      </c>
      <c r="S214">
        <v>4</v>
      </c>
      <c r="T214" t="b">
        <v>0</v>
      </c>
      <c r="U214">
        <v>2</v>
      </c>
      <c r="V214" s="4">
        <v>29.74</v>
      </c>
    </row>
    <row r="215" spans="1:22" hidden="1" x14ac:dyDescent="0.35">
      <c r="A215" t="s">
        <v>21</v>
      </c>
      <c r="B215">
        <v>3</v>
      </c>
      <c r="C215">
        <v>1</v>
      </c>
      <c r="D215">
        <v>10</v>
      </c>
      <c r="E215" t="s">
        <v>25</v>
      </c>
      <c r="F215">
        <v>50</v>
      </c>
      <c r="G215">
        <v>3</v>
      </c>
      <c r="H215">
        <v>20</v>
      </c>
      <c r="I215" t="s">
        <v>26</v>
      </c>
      <c r="J215" s="3">
        <v>792.75564699999995</v>
      </c>
      <c r="K215" s="3" t="s">
        <v>24</v>
      </c>
      <c r="L215" s="3" t="s">
        <v>24</v>
      </c>
      <c r="M215" s="3" t="s">
        <v>24</v>
      </c>
      <c r="N215" s="3">
        <v>18342.582999999999</v>
      </c>
      <c r="O215" s="4"/>
      <c r="P215" s="4"/>
      <c r="Q215" s="4"/>
      <c r="R215" s="5">
        <v>0</v>
      </c>
      <c r="S215">
        <v>0</v>
      </c>
      <c r="T215" t="b">
        <v>1</v>
      </c>
      <c r="U215">
        <v>-1</v>
      </c>
      <c r="V215" s="4">
        <v>30.29</v>
      </c>
    </row>
    <row r="216" spans="1:22" hidden="1" x14ac:dyDescent="0.35">
      <c r="A216" t="s">
        <v>21</v>
      </c>
      <c r="B216">
        <v>3</v>
      </c>
      <c r="C216">
        <v>1</v>
      </c>
      <c r="D216">
        <v>10</v>
      </c>
      <c r="E216" t="s">
        <v>25</v>
      </c>
      <c r="F216">
        <v>200</v>
      </c>
      <c r="G216">
        <v>1</v>
      </c>
      <c r="H216">
        <v>20</v>
      </c>
      <c r="I216" t="s">
        <v>26</v>
      </c>
      <c r="J216" s="3">
        <v>842.77720999999997</v>
      </c>
      <c r="K216" s="3">
        <v>18342.582999999999</v>
      </c>
      <c r="L216" s="3">
        <v>19156.465</v>
      </c>
      <c r="M216" s="3">
        <v>18342.582999999999</v>
      </c>
      <c r="N216" s="3">
        <v>18342.582999999999</v>
      </c>
      <c r="O216" s="4">
        <v>0</v>
      </c>
      <c r="P216" s="4">
        <v>4.4371</v>
      </c>
      <c r="Q216" s="4">
        <v>0</v>
      </c>
      <c r="R216" s="5">
        <v>4.0000000000000002E-4</v>
      </c>
      <c r="S216">
        <v>4</v>
      </c>
      <c r="T216" t="b">
        <v>0</v>
      </c>
      <c r="U216">
        <v>2</v>
      </c>
      <c r="V216" s="4">
        <v>38.380000000000003</v>
      </c>
    </row>
    <row r="217" spans="1:22" hidden="1" x14ac:dyDescent="0.35">
      <c r="A217" t="s">
        <v>21</v>
      </c>
      <c r="B217">
        <v>3</v>
      </c>
      <c r="C217">
        <v>1</v>
      </c>
      <c r="D217">
        <v>10</v>
      </c>
      <c r="E217" t="s">
        <v>25</v>
      </c>
      <c r="F217">
        <v>200</v>
      </c>
      <c r="G217">
        <v>3</v>
      </c>
      <c r="H217">
        <v>20</v>
      </c>
      <c r="I217" t="s">
        <v>26</v>
      </c>
      <c r="J217" s="3">
        <v>792.75564699999995</v>
      </c>
      <c r="K217" s="3" t="s">
        <v>24</v>
      </c>
      <c r="L217" s="3" t="s">
        <v>24</v>
      </c>
      <c r="M217" s="3" t="s">
        <v>24</v>
      </c>
      <c r="N217" s="3">
        <v>18342.582999999999</v>
      </c>
      <c r="O217" s="4"/>
      <c r="P217" s="4"/>
      <c r="Q217" s="4"/>
      <c r="R217" s="5">
        <v>0</v>
      </c>
      <c r="S217">
        <v>0</v>
      </c>
      <c r="T217" t="b">
        <v>1</v>
      </c>
      <c r="U217">
        <v>-1</v>
      </c>
      <c r="V217" s="4">
        <v>39.85</v>
      </c>
    </row>
    <row r="218" spans="1:22" hidden="1" x14ac:dyDescent="0.35">
      <c r="A218" t="s">
        <v>21</v>
      </c>
      <c r="B218">
        <v>3</v>
      </c>
      <c r="C218">
        <v>2</v>
      </c>
      <c r="D218">
        <v>2</v>
      </c>
      <c r="E218" t="s">
        <v>22</v>
      </c>
      <c r="F218">
        <v>50</v>
      </c>
      <c r="G218">
        <v>1</v>
      </c>
      <c r="H218">
        <v>20</v>
      </c>
      <c r="I218" t="s">
        <v>26</v>
      </c>
      <c r="J218" s="3">
        <v>72.495525999999998</v>
      </c>
      <c r="K218" s="3">
        <v>18342.582999999999</v>
      </c>
      <c r="L218" s="3">
        <v>19156.465</v>
      </c>
      <c r="M218" s="3">
        <v>18342.582999999999</v>
      </c>
      <c r="N218" s="3">
        <v>18342.582999999999</v>
      </c>
      <c r="O218" s="4">
        <v>0</v>
      </c>
      <c r="P218" s="4">
        <v>4.4371</v>
      </c>
      <c r="Q218" s="4">
        <v>0</v>
      </c>
      <c r="R218" s="5">
        <v>1.6000000000000001E-3</v>
      </c>
      <c r="S218">
        <v>10</v>
      </c>
      <c r="T218" t="b">
        <v>0</v>
      </c>
      <c r="U218">
        <v>8</v>
      </c>
      <c r="V218" s="4">
        <v>9.9600000000000009</v>
      </c>
    </row>
    <row r="219" spans="1:22" hidden="1" x14ac:dyDescent="0.35">
      <c r="A219" t="s">
        <v>21</v>
      </c>
      <c r="B219">
        <v>3</v>
      </c>
      <c r="C219">
        <v>2</v>
      </c>
      <c r="D219">
        <v>2</v>
      </c>
      <c r="E219" t="s">
        <v>22</v>
      </c>
      <c r="F219">
        <v>50</v>
      </c>
      <c r="G219">
        <v>3</v>
      </c>
      <c r="H219">
        <v>20</v>
      </c>
      <c r="I219" t="s">
        <v>26</v>
      </c>
      <c r="J219" s="3">
        <v>58.117592000000002</v>
      </c>
      <c r="K219" s="3">
        <v>18342.582999999999</v>
      </c>
      <c r="L219" s="3">
        <v>18356.73</v>
      </c>
      <c r="M219" s="3">
        <v>18342.582999999999</v>
      </c>
      <c r="N219" s="3">
        <v>18342.582999999999</v>
      </c>
      <c r="O219" s="4">
        <v>0</v>
      </c>
      <c r="P219" s="4">
        <v>7.7100000000000002E-2</v>
      </c>
      <c r="Q219" s="4">
        <v>0</v>
      </c>
      <c r="R219" s="5">
        <v>4.7999999999999996E-3</v>
      </c>
      <c r="S219">
        <v>12</v>
      </c>
      <c r="T219" t="b">
        <v>0</v>
      </c>
      <c r="U219">
        <v>5</v>
      </c>
      <c r="V219" s="4">
        <v>28.66</v>
      </c>
    </row>
    <row r="220" spans="1:22" hidden="1" x14ac:dyDescent="0.35">
      <c r="A220" t="s">
        <v>21</v>
      </c>
      <c r="B220">
        <v>3</v>
      </c>
      <c r="C220">
        <v>2</v>
      </c>
      <c r="D220">
        <v>2</v>
      </c>
      <c r="E220" t="s">
        <v>22</v>
      </c>
      <c r="F220">
        <v>200</v>
      </c>
      <c r="G220">
        <v>1</v>
      </c>
      <c r="H220">
        <v>20</v>
      </c>
      <c r="I220" t="s">
        <v>26</v>
      </c>
      <c r="J220" s="3">
        <v>72.495525999999998</v>
      </c>
      <c r="K220" s="3">
        <v>18342.582999999999</v>
      </c>
      <c r="L220" s="3">
        <v>19156.465</v>
      </c>
      <c r="M220" s="3">
        <v>18342.582999999999</v>
      </c>
      <c r="N220" s="3">
        <v>18342.582999999999</v>
      </c>
      <c r="O220" s="4">
        <v>0</v>
      </c>
      <c r="P220" s="4">
        <v>4.4371</v>
      </c>
      <c r="Q220" s="4">
        <v>0</v>
      </c>
      <c r="R220" s="5">
        <v>1.6000000000000001E-3</v>
      </c>
      <c r="S220">
        <v>10</v>
      </c>
      <c r="T220" t="b">
        <v>0</v>
      </c>
      <c r="U220">
        <v>8</v>
      </c>
      <c r="V220" s="4">
        <v>9.9</v>
      </c>
    </row>
    <row r="221" spans="1:22" hidden="1" x14ac:dyDescent="0.35">
      <c r="A221" t="s">
        <v>21</v>
      </c>
      <c r="B221">
        <v>3</v>
      </c>
      <c r="C221">
        <v>2</v>
      </c>
      <c r="D221">
        <v>2</v>
      </c>
      <c r="E221" t="s">
        <v>22</v>
      </c>
      <c r="F221">
        <v>200</v>
      </c>
      <c r="G221">
        <v>3</v>
      </c>
      <c r="H221">
        <v>20</v>
      </c>
      <c r="I221" t="s">
        <v>26</v>
      </c>
      <c r="J221" s="3">
        <v>58.117592000000002</v>
      </c>
      <c r="K221" s="3">
        <v>18342.582999999999</v>
      </c>
      <c r="L221" s="3">
        <v>18356.73</v>
      </c>
      <c r="M221" s="3">
        <v>18342.582999999999</v>
      </c>
      <c r="N221" s="3">
        <v>18342.582999999999</v>
      </c>
      <c r="O221" s="4">
        <v>0</v>
      </c>
      <c r="P221" s="4">
        <v>7.7100000000000002E-2</v>
      </c>
      <c r="Q221" s="4">
        <v>0</v>
      </c>
      <c r="R221" s="5">
        <v>4.7999999999999996E-3</v>
      </c>
      <c r="S221">
        <v>12</v>
      </c>
      <c r="T221" t="b">
        <v>0</v>
      </c>
      <c r="U221">
        <v>5</v>
      </c>
      <c r="V221" s="4">
        <v>28.95</v>
      </c>
    </row>
    <row r="222" spans="1:22" hidden="1" x14ac:dyDescent="0.35">
      <c r="A222" t="s">
        <v>21</v>
      </c>
      <c r="B222">
        <v>3</v>
      </c>
      <c r="C222">
        <v>2</v>
      </c>
      <c r="D222">
        <v>2</v>
      </c>
      <c r="E222" t="s">
        <v>25</v>
      </c>
      <c r="F222">
        <v>50</v>
      </c>
      <c r="G222">
        <v>1</v>
      </c>
      <c r="H222">
        <v>20</v>
      </c>
      <c r="I222" t="s">
        <v>26</v>
      </c>
      <c r="J222" s="3">
        <v>163.40015399999999</v>
      </c>
      <c r="K222" s="3">
        <v>18342.582999999999</v>
      </c>
      <c r="L222" s="3">
        <v>18342.582999999999</v>
      </c>
      <c r="M222" s="3">
        <v>18342.582999999999</v>
      </c>
      <c r="N222" s="3">
        <v>18342.582999999999</v>
      </c>
      <c r="O222" s="4">
        <v>0</v>
      </c>
      <c r="P222" s="4">
        <v>0</v>
      </c>
      <c r="Q222" s="4">
        <v>0</v>
      </c>
      <c r="R222" s="5">
        <v>1E-4</v>
      </c>
      <c r="S222">
        <v>1</v>
      </c>
      <c r="T222" t="b">
        <v>0</v>
      </c>
      <c r="U222">
        <v>1</v>
      </c>
      <c r="V222" s="4">
        <v>1.95</v>
      </c>
    </row>
    <row r="223" spans="1:22" hidden="1" x14ac:dyDescent="0.35">
      <c r="A223" t="s">
        <v>21</v>
      </c>
      <c r="B223">
        <v>3</v>
      </c>
      <c r="C223">
        <v>2</v>
      </c>
      <c r="D223">
        <v>2</v>
      </c>
      <c r="E223" t="s">
        <v>25</v>
      </c>
      <c r="F223">
        <v>50</v>
      </c>
      <c r="G223">
        <v>3</v>
      </c>
      <c r="H223">
        <v>20</v>
      </c>
      <c r="I223" t="s">
        <v>26</v>
      </c>
      <c r="J223" s="3">
        <v>136.429777</v>
      </c>
      <c r="K223" s="3">
        <v>18342.582999999999</v>
      </c>
      <c r="L223" s="3">
        <v>18342.582999999999</v>
      </c>
      <c r="M223" s="3">
        <v>18342.582999999999</v>
      </c>
      <c r="N223" s="3">
        <v>18342.582999999999</v>
      </c>
      <c r="O223" s="4">
        <v>0</v>
      </c>
      <c r="P223" s="4">
        <v>0</v>
      </c>
      <c r="Q223" s="4">
        <v>0</v>
      </c>
      <c r="R223" s="5">
        <v>2.0999999999999999E-3</v>
      </c>
      <c r="S223">
        <v>9</v>
      </c>
      <c r="T223" t="b">
        <v>0</v>
      </c>
      <c r="U223">
        <v>1</v>
      </c>
      <c r="V223" s="4">
        <v>4.76</v>
      </c>
    </row>
    <row r="224" spans="1:22" hidden="1" x14ac:dyDescent="0.35">
      <c r="A224" t="s">
        <v>21</v>
      </c>
      <c r="B224">
        <v>3</v>
      </c>
      <c r="C224">
        <v>2</v>
      </c>
      <c r="D224">
        <v>2</v>
      </c>
      <c r="E224" t="s">
        <v>25</v>
      </c>
      <c r="F224">
        <v>200</v>
      </c>
      <c r="G224">
        <v>1</v>
      </c>
      <c r="H224">
        <v>20</v>
      </c>
      <c r="I224" t="s">
        <v>26</v>
      </c>
      <c r="J224" s="3">
        <v>163.40015399999999</v>
      </c>
      <c r="K224" s="3">
        <v>18342.582999999999</v>
      </c>
      <c r="L224" s="3">
        <v>18342.582999999999</v>
      </c>
      <c r="M224" s="3">
        <v>18342.582999999999</v>
      </c>
      <c r="N224" s="3">
        <v>18342.582999999999</v>
      </c>
      <c r="O224" s="4">
        <v>0</v>
      </c>
      <c r="P224" s="4">
        <v>0</v>
      </c>
      <c r="Q224" s="4">
        <v>0</v>
      </c>
      <c r="R224" s="5">
        <v>1E-4</v>
      </c>
      <c r="S224">
        <v>1</v>
      </c>
      <c r="T224" t="b">
        <v>0</v>
      </c>
      <c r="U224">
        <v>1</v>
      </c>
      <c r="V224" s="4">
        <v>1.97</v>
      </c>
    </row>
    <row r="225" spans="1:22" hidden="1" x14ac:dyDescent="0.35">
      <c r="A225" t="s">
        <v>21</v>
      </c>
      <c r="B225">
        <v>3</v>
      </c>
      <c r="C225">
        <v>2</v>
      </c>
      <c r="D225">
        <v>2</v>
      </c>
      <c r="E225" t="s">
        <v>25</v>
      </c>
      <c r="F225">
        <v>200</v>
      </c>
      <c r="G225">
        <v>3</v>
      </c>
      <c r="H225">
        <v>20</v>
      </c>
      <c r="I225" t="s">
        <v>26</v>
      </c>
      <c r="J225" s="3">
        <v>136.429777</v>
      </c>
      <c r="K225" s="3">
        <v>18342.582999999999</v>
      </c>
      <c r="L225" s="3">
        <v>18342.582999999999</v>
      </c>
      <c r="M225" s="3">
        <v>18342.582999999999</v>
      </c>
      <c r="N225" s="3">
        <v>18342.582999999999</v>
      </c>
      <c r="O225" s="4">
        <v>0</v>
      </c>
      <c r="P225" s="4">
        <v>0</v>
      </c>
      <c r="Q225" s="4">
        <v>0</v>
      </c>
      <c r="R225" s="5">
        <v>2.0999999999999999E-3</v>
      </c>
      <c r="S225">
        <v>9</v>
      </c>
      <c r="T225" t="b">
        <v>0</v>
      </c>
      <c r="U225">
        <v>1</v>
      </c>
      <c r="V225" s="4">
        <v>4.68</v>
      </c>
    </row>
    <row r="226" spans="1:22" hidden="1" x14ac:dyDescent="0.35">
      <c r="A226" t="s">
        <v>21</v>
      </c>
      <c r="B226">
        <v>3</v>
      </c>
      <c r="C226">
        <v>2</v>
      </c>
      <c r="D226">
        <v>5</v>
      </c>
      <c r="E226" t="s">
        <v>22</v>
      </c>
      <c r="F226">
        <v>50</v>
      </c>
      <c r="G226">
        <v>1</v>
      </c>
      <c r="H226">
        <v>20</v>
      </c>
      <c r="I226" t="s">
        <v>26</v>
      </c>
      <c r="J226" s="3">
        <v>161.04322300000001</v>
      </c>
      <c r="K226" s="3">
        <v>18342.582999999999</v>
      </c>
      <c r="L226" s="3">
        <v>19156.465</v>
      </c>
      <c r="M226" s="3">
        <v>18342.582999999999</v>
      </c>
      <c r="N226" s="3">
        <v>18342.582999999999</v>
      </c>
      <c r="O226" s="4">
        <v>0</v>
      </c>
      <c r="P226" s="4">
        <v>4.4371</v>
      </c>
      <c r="Q226" s="4">
        <v>0</v>
      </c>
      <c r="R226" s="5">
        <v>1.5E-3</v>
      </c>
      <c r="S226">
        <v>9</v>
      </c>
      <c r="T226" t="b">
        <v>0</v>
      </c>
      <c r="U226">
        <v>7</v>
      </c>
      <c r="V226" s="4">
        <v>10.79</v>
      </c>
    </row>
    <row r="227" spans="1:22" hidden="1" x14ac:dyDescent="0.35">
      <c r="A227" t="s">
        <v>21</v>
      </c>
      <c r="B227">
        <v>3</v>
      </c>
      <c r="C227">
        <v>2</v>
      </c>
      <c r="D227">
        <v>5</v>
      </c>
      <c r="E227" t="s">
        <v>22</v>
      </c>
      <c r="F227">
        <v>50</v>
      </c>
      <c r="G227">
        <v>3</v>
      </c>
      <c r="H227">
        <v>20</v>
      </c>
      <c r="I227" t="s">
        <v>26</v>
      </c>
      <c r="J227" s="3">
        <v>131.943533</v>
      </c>
      <c r="K227" s="3">
        <v>18342.582999999999</v>
      </c>
      <c r="L227" s="3">
        <v>18342.582999999999</v>
      </c>
      <c r="M227" s="3">
        <v>18342.582999999999</v>
      </c>
      <c r="N227" s="3">
        <v>18342.582999999999</v>
      </c>
      <c r="O227" s="4">
        <v>0</v>
      </c>
      <c r="P227" s="4">
        <v>0</v>
      </c>
      <c r="Q227" s="4">
        <v>0</v>
      </c>
      <c r="R227" s="5">
        <v>6.0000000000000001E-3</v>
      </c>
      <c r="S227">
        <v>12</v>
      </c>
      <c r="T227" t="b">
        <v>0</v>
      </c>
      <c r="U227">
        <v>1</v>
      </c>
      <c r="V227" s="4">
        <v>33.549999999999997</v>
      </c>
    </row>
    <row r="228" spans="1:22" hidden="1" x14ac:dyDescent="0.35">
      <c r="A228" t="s">
        <v>21</v>
      </c>
      <c r="B228">
        <v>3</v>
      </c>
      <c r="C228">
        <v>2</v>
      </c>
      <c r="D228">
        <v>5</v>
      </c>
      <c r="E228" t="s">
        <v>22</v>
      </c>
      <c r="F228">
        <v>200</v>
      </c>
      <c r="G228">
        <v>1</v>
      </c>
      <c r="H228">
        <v>20</v>
      </c>
      <c r="I228" t="s">
        <v>26</v>
      </c>
      <c r="J228" s="3">
        <v>161.04322300000001</v>
      </c>
      <c r="K228" s="3">
        <v>18342.582999999999</v>
      </c>
      <c r="L228" s="3">
        <v>19156.465</v>
      </c>
      <c r="M228" s="3">
        <v>18342.582999999999</v>
      </c>
      <c r="N228" s="3">
        <v>18342.582999999999</v>
      </c>
      <c r="O228" s="4">
        <v>0</v>
      </c>
      <c r="P228" s="4">
        <v>4.4371</v>
      </c>
      <c r="Q228" s="4">
        <v>0</v>
      </c>
      <c r="R228" s="5">
        <v>1.5E-3</v>
      </c>
      <c r="S228">
        <v>9</v>
      </c>
      <c r="T228" t="b">
        <v>0</v>
      </c>
      <c r="U228">
        <v>7</v>
      </c>
      <c r="V228" s="4">
        <v>10.93</v>
      </c>
    </row>
    <row r="229" spans="1:22" hidden="1" x14ac:dyDescent="0.35">
      <c r="A229" t="s">
        <v>21</v>
      </c>
      <c r="B229">
        <v>3</v>
      </c>
      <c r="C229">
        <v>2</v>
      </c>
      <c r="D229">
        <v>5</v>
      </c>
      <c r="E229" t="s">
        <v>22</v>
      </c>
      <c r="F229">
        <v>200</v>
      </c>
      <c r="G229">
        <v>3</v>
      </c>
      <c r="H229">
        <v>20</v>
      </c>
      <c r="I229" t="s">
        <v>26</v>
      </c>
      <c r="J229" s="3">
        <v>131.943533</v>
      </c>
      <c r="K229" s="3">
        <v>18342.582999999999</v>
      </c>
      <c r="L229" s="3">
        <v>18342.582999999999</v>
      </c>
      <c r="M229" s="3">
        <v>18342.582999999999</v>
      </c>
      <c r="N229" s="3">
        <v>18342.582999999999</v>
      </c>
      <c r="O229" s="4">
        <v>0</v>
      </c>
      <c r="P229" s="4">
        <v>0</v>
      </c>
      <c r="Q229" s="4">
        <v>0</v>
      </c>
      <c r="R229" s="5">
        <v>6.0000000000000001E-3</v>
      </c>
      <c r="S229">
        <v>12</v>
      </c>
      <c r="T229" t="b">
        <v>0</v>
      </c>
      <c r="U229">
        <v>1</v>
      </c>
      <c r="V229" s="4">
        <v>33.67</v>
      </c>
    </row>
    <row r="230" spans="1:22" hidden="1" x14ac:dyDescent="0.35">
      <c r="A230" t="s">
        <v>21</v>
      </c>
      <c r="B230">
        <v>3</v>
      </c>
      <c r="C230">
        <v>2</v>
      </c>
      <c r="D230">
        <v>5</v>
      </c>
      <c r="E230" t="s">
        <v>25</v>
      </c>
      <c r="F230">
        <v>50</v>
      </c>
      <c r="G230">
        <v>1</v>
      </c>
      <c r="H230">
        <v>20</v>
      </c>
      <c r="I230" t="s">
        <v>26</v>
      </c>
      <c r="J230" s="3">
        <v>405.53959400000002</v>
      </c>
      <c r="K230" s="3" t="s">
        <v>24</v>
      </c>
      <c r="L230" s="3" t="s">
        <v>24</v>
      </c>
      <c r="M230" s="3" t="s">
        <v>24</v>
      </c>
      <c r="N230" s="3">
        <v>18342.582999999999</v>
      </c>
      <c r="O230" s="4"/>
      <c r="P230" s="4"/>
      <c r="Q230" s="4"/>
      <c r="R230" s="5">
        <v>0</v>
      </c>
      <c r="S230">
        <v>0</v>
      </c>
      <c r="T230" t="b">
        <v>1</v>
      </c>
      <c r="U230">
        <v>-1</v>
      </c>
      <c r="V230" s="4">
        <v>1.92</v>
      </c>
    </row>
    <row r="231" spans="1:22" hidden="1" x14ac:dyDescent="0.35">
      <c r="A231" t="s">
        <v>21</v>
      </c>
      <c r="B231">
        <v>3</v>
      </c>
      <c r="C231">
        <v>2</v>
      </c>
      <c r="D231">
        <v>5</v>
      </c>
      <c r="E231" t="s">
        <v>25</v>
      </c>
      <c r="F231">
        <v>50</v>
      </c>
      <c r="G231">
        <v>3</v>
      </c>
      <c r="H231">
        <v>20</v>
      </c>
      <c r="I231" t="s">
        <v>26</v>
      </c>
      <c r="J231" s="3">
        <v>317.47668099999999</v>
      </c>
      <c r="K231" s="3">
        <v>18342.582999999999</v>
      </c>
      <c r="L231" s="3">
        <v>18342.582999999999</v>
      </c>
      <c r="M231" s="3">
        <v>18342.582999999999</v>
      </c>
      <c r="N231" s="3">
        <v>18342.582999999999</v>
      </c>
      <c r="O231" s="4">
        <v>0</v>
      </c>
      <c r="P231" s="4">
        <v>0</v>
      </c>
      <c r="Q231" s="4">
        <v>0</v>
      </c>
      <c r="R231" s="5">
        <v>2.7000000000000001E-3</v>
      </c>
      <c r="S231">
        <v>11</v>
      </c>
      <c r="T231" t="b">
        <v>0</v>
      </c>
      <c r="U231">
        <v>1</v>
      </c>
      <c r="V231" s="4">
        <v>4.93</v>
      </c>
    </row>
    <row r="232" spans="1:22" hidden="1" x14ac:dyDescent="0.35">
      <c r="A232" t="s">
        <v>21</v>
      </c>
      <c r="B232">
        <v>3</v>
      </c>
      <c r="C232">
        <v>2</v>
      </c>
      <c r="D232">
        <v>5</v>
      </c>
      <c r="E232" t="s">
        <v>25</v>
      </c>
      <c r="F232">
        <v>200</v>
      </c>
      <c r="G232">
        <v>1</v>
      </c>
      <c r="H232">
        <v>20</v>
      </c>
      <c r="I232" t="s">
        <v>26</v>
      </c>
      <c r="J232" s="3">
        <v>405.53959400000002</v>
      </c>
      <c r="K232" s="3" t="s">
        <v>24</v>
      </c>
      <c r="L232" s="3" t="s">
        <v>24</v>
      </c>
      <c r="M232" s="3" t="s">
        <v>24</v>
      </c>
      <c r="N232" s="3">
        <v>18342.582999999999</v>
      </c>
      <c r="O232" s="4"/>
      <c r="P232" s="4"/>
      <c r="Q232" s="4"/>
      <c r="R232" s="5">
        <v>0</v>
      </c>
      <c r="S232">
        <v>0</v>
      </c>
      <c r="T232" t="b">
        <v>1</v>
      </c>
      <c r="U232">
        <v>-1</v>
      </c>
      <c r="V232" s="4">
        <v>1.91</v>
      </c>
    </row>
    <row r="233" spans="1:22" hidden="1" x14ac:dyDescent="0.35">
      <c r="A233" t="s">
        <v>21</v>
      </c>
      <c r="B233">
        <v>3</v>
      </c>
      <c r="C233">
        <v>2</v>
      </c>
      <c r="D233">
        <v>5</v>
      </c>
      <c r="E233" t="s">
        <v>25</v>
      </c>
      <c r="F233">
        <v>200</v>
      </c>
      <c r="G233">
        <v>3</v>
      </c>
      <c r="H233">
        <v>20</v>
      </c>
      <c r="I233" t="s">
        <v>26</v>
      </c>
      <c r="J233" s="3">
        <v>317.47668099999999</v>
      </c>
      <c r="K233" s="3">
        <v>18342.582999999999</v>
      </c>
      <c r="L233" s="3">
        <v>18342.582999999999</v>
      </c>
      <c r="M233" s="3">
        <v>18342.582999999999</v>
      </c>
      <c r="N233" s="3">
        <v>18342.582999999999</v>
      </c>
      <c r="O233" s="4">
        <v>0</v>
      </c>
      <c r="P233" s="4">
        <v>0</v>
      </c>
      <c r="Q233" s="4">
        <v>0</v>
      </c>
      <c r="R233" s="5">
        <v>2.7000000000000001E-3</v>
      </c>
      <c r="S233">
        <v>11</v>
      </c>
      <c r="T233" t="b">
        <v>0</v>
      </c>
      <c r="U233">
        <v>1</v>
      </c>
      <c r="V233" s="4">
        <v>4.8</v>
      </c>
    </row>
    <row r="234" spans="1:22" hidden="1" x14ac:dyDescent="0.35">
      <c r="A234" t="s">
        <v>21</v>
      </c>
      <c r="B234">
        <v>3</v>
      </c>
      <c r="C234">
        <v>2</v>
      </c>
      <c r="D234">
        <v>10</v>
      </c>
      <c r="E234" t="s">
        <v>22</v>
      </c>
      <c r="F234">
        <v>50</v>
      </c>
      <c r="G234">
        <v>1</v>
      </c>
      <c r="H234">
        <v>20</v>
      </c>
      <c r="I234" t="s">
        <v>26</v>
      </c>
      <c r="J234" s="3">
        <v>297.19580500000001</v>
      </c>
      <c r="K234" s="3">
        <v>18342.582999999999</v>
      </c>
      <c r="L234" s="3">
        <v>18342.582999999999</v>
      </c>
      <c r="M234" s="3">
        <v>18342.582999999999</v>
      </c>
      <c r="N234" s="3">
        <v>18342.582999999999</v>
      </c>
      <c r="O234" s="4">
        <v>0</v>
      </c>
      <c r="P234" s="4">
        <v>0</v>
      </c>
      <c r="Q234" s="4">
        <v>0</v>
      </c>
      <c r="R234" s="5">
        <v>2.0999999999999999E-3</v>
      </c>
      <c r="S234">
        <v>11</v>
      </c>
      <c r="T234" t="b">
        <v>0</v>
      </c>
      <c r="U234">
        <v>5</v>
      </c>
      <c r="V234" s="4">
        <v>10.45</v>
      </c>
    </row>
    <row r="235" spans="1:22" hidden="1" x14ac:dyDescent="0.35">
      <c r="A235" t="s">
        <v>21</v>
      </c>
      <c r="B235">
        <v>3</v>
      </c>
      <c r="C235">
        <v>2</v>
      </c>
      <c r="D235">
        <v>10</v>
      </c>
      <c r="E235" t="s">
        <v>22</v>
      </c>
      <c r="F235">
        <v>50</v>
      </c>
      <c r="G235">
        <v>3</v>
      </c>
      <c r="H235">
        <v>20</v>
      </c>
      <c r="I235" t="s">
        <v>26</v>
      </c>
      <c r="J235" s="3">
        <v>209.23013900000001</v>
      </c>
      <c r="K235" s="3">
        <v>18342.582999999999</v>
      </c>
      <c r="L235" s="3">
        <v>19023.089</v>
      </c>
      <c r="M235" s="3">
        <v>18342.582999999999</v>
      </c>
      <c r="N235" s="3">
        <v>18342.582999999999</v>
      </c>
      <c r="O235" s="4">
        <v>0</v>
      </c>
      <c r="P235" s="4">
        <v>3.71</v>
      </c>
      <c r="Q235" s="4">
        <v>0</v>
      </c>
      <c r="R235" s="5">
        <v>2.64E-2</v>
      </c>
      <c r="S235">
        <v>12</v>
      </c>
      <c r="T235" t="b">
        <v>0</v>
      </c>
      <c r="U235">
        <v>3</v>
      </c>
      <c r="V235" s="4">
        <v>33.18</v>
      </c>
    </row>
    <row r="236" spans="1:22" hidden="1" x14ac:dyDescent="0.35">
      <c r="A236" t="s">
        <v>21</v>
      </c>
      <c r="B236">
        <v>3</v>
      </c>
      <c r="C236">
        <v>2</v>
      </c>
      <c r="D236">
        <v>10</v>
      </c>
      <c r="E236" t="s">
        <v>22</v>
      </c>
      <c r="F236">
        <v>200</v>
      </c>
      <c r="G236">
        <v>1</v>
      </c>
      <c r="H236">
        <v>20</v>
      </c>
      <c r="I236" t="s">
        <v>26</v>
      </c>
      <c r="J236" s="3">
        <v>297.19580500000001</v>
      </c>
      <c r="K236" s="3">
        <v>18342.582999999999</v>
      </c>
      <c r="L236" s="3">
        <v>18342.582999999999</v>
      </c>
      <c r="M236" s="3">
        <v>18342.582999999999</v>
      </c>
      <c r="N236" s="3">
        <v>18342.582999999999</v>
      </c>
      <c r="O236" s="4">
        <v>0</v>
      </c>
      <c r="P236" s="4">
        <v>0</v>
      </c>
      <c r="Q236" s="4">
        <v>0</v>
      </c>
      <c r="R236" s="5">
        <v>2.0999999999999999E-3</v>
      </c>
      <c r="S236">
        <v>11</v>
      </c>
      <c r="T236" t="b">
        <v>0</v>
      </c>
      <c r="U236">
        <v>5</v>
      </c>
      <c r="V236" s="4">
        <v>10.39</v>
      </c>
    </row>
    <row r="237" spans="1:22" hidden="1" x14ac:dyDescent="0.35">
      <c r="A237" t="s">
        <v>21</v>
      </c>
      <c r="B237">
        <v>3</v>
      </c>
      <c r="C237">
        <v>2</v>
      </c>
      <c r="D237">
        <v>10</v>
      </c>
      <c r="E237" t="s">
        <v>22</v>
      </c>
      <c r="F237">
        <v>200</v>
      </c>
      <c r="G237">
        <v>3</v>
      </c>
      <c r="H237">
        <v>20</v>
      </c>
      <c r="I237" t="s">
        <v>26</v>
      </c>
      <c r="J237" s="3">
        <v>209.23013900000001</v>
      </c>
      <c r="K237" s="3">
        <v>18342.582999999999</v>
      </c>
      <c r="L237" s="3">
        <v>19023.089</v>
      </c>
      <c r="M237" s="3">
        <v>18342.582999999999</v>
      </c>
      <c r="N237" s="3">
        <v>18342.582999999999</v>
      </c>
      <c r="O237" s="4">
        <v>0</v>
      </c>
      <c r="P237" s="4">
        <v>3.71</v>
      </c>
      <c r="Q237" s="4">
        <v>0</v>
      </c>
      <c r="R237" s="5">
        <v>2.64E-2</v>
      </c>
      <c r="S237">
        <v>12</v>
      </c>
      <c r="T237" t="b">
        <v>0</v>
      </c>
      <c r="U237">
        <v>3</v>
      </c>
      <c r="V237" s="4">
        <v>33.31</v>
      </c>
    </row>
    <row r="238" spans="1:22" hidden="1" x14ac:dyDescent="0.35">
      <c r="A238" t="s">
        <v>21</v>
      </c>
      <c r="B238">
        <v>3</v>
      </c>
      <c r="C238">
        <v>2</v>
      </c>
      <c r="D238">
        <v>10</v>
      </c>
      <c r="E238" t="s">
        <v>25</v>
      </c>
      <c r="F238">
        <v>50</v>
      </c>
      <c r="G238">
        <v>1</v>
      </c>
      <c r="H238">
        <v>20</v>
      </c>
      <c r="I238" t="s">
        <v>26</v>
      </c>
      <c r="J238" s="3">
        <v>806.44190400000002</v>
      </c>
      <c r="K238" s="3" t="s">
        <v>24</v>
      </c>
      <c r="L238" s="3" t="s">
        <v>24</v>
      </c>
      <c r="M238" s="3" t="s">
        <v>24</v>
      </c>
      <c r="N238" s="3">
        <v>18342.582999999999</v>
      </c>
      <c r="O238" s="4"/>
      <c r="P238" s="4"/>
      <c r="Q238" s="4"/>
      <c r="R238" s="5">
        <v>0</v>
      </c>
      <c r="S238">
        <v>0</v>
      </c>
      <c r="T238" t="b">
        <v>1</v>
      </c>
      <c r="U238">
        <v>-1</v>
      </c>
      <c r="V238" s="4">
        <v>1.98</v>
      </c>
    </row>
    <row r="239" spans="1:22" hidden="1" x14ac:dyDescent="0.35">
      <c r="A239" t="s">
        <v>21</v>
      </c>
      <c r="B239">
        <v>3</v>
      </c>
      <c r="C239">
        <v>2</v>
      </c>
      <c r="D239">
        <v>10</v>
      </c>
      <c r="E239" t="s">
        <v>25</v>
      </c>
      <c r="F239">
        <v>50</v>
      </c>
      <c r="G239">
        <v>3</v>
      </c>
      <c r="H239">
        <v>20</v>
      </c>
      <c r="I239" t="s">
        <v>26</v>
      </c>
      <c r="J239" s="3">
        <v>622.32546500000001</v>
      </c>
      <c r="K239" s="3">
        <v>18342.582999999999</v>
      </c>
      <c r="L239" s="3">
        <v>18627.170999999998</v>
      </c>
      <c r="M239" s="3">
        <v>18342.582999999999</v>
      </c>
      <c r="N239" s="3">
        <v>18342.582999999999</v>
      </c>
      <c r="O239" s="4">
        <v>0</v>
      </c>
      <c r="P239" s="4">
        <v>1.5515000000000001</v>
      </c>
      <c r="Q239" s="4">
        <v>0</v>
      </c>
      <c r="R239" s="5">
        <v>2.5000000000000001E-3</v>
      </c>
      <c r="S239">
        <v>11</v>
      </c>
      <c r="T239" t="b">
        <v>0</v>
      </c>
      <c r="U239">
        <v>2</v>
      </c>
      <c r="V239" s="4">
        <v>64.19</v>
      </c>
    </row>
    <row r="240" spans="1:22" hidden="1" x14ac:dyDescent="0.35">
      <c r="A240" t="s">
        <v>21</v>
      </c>
      <c r="B240">
        <v>3</v>
      </c>
      <c r="C240">
        <v>2</v>
      </c>
      <c r="D240">
        <v>10</v>
      </c>
      <c r="E240" t="s">
        <v>25</v>
      </c>
      <c r="F240">
        <v>200</v>
      </c>
      <c r="G240">
        <v>1</v>
      </c>
      <c r="H240">
        <v>20</v>
      </c>
      <c r="I240" t="s">
        <v>26</v>
      </c>
      <c r="J240" s="3">
        <v>806.44190400000002</v>
      </c>
      <c r="K240" s="3" t="s">
        <v>24</v>
      </c>
      <c r="L240" s="3" t="s">
        <v>24</v>
      </c>
      <c r="M240" s="3" t="s">
        <v>24</v>
      </c>
      <c r="N240" s="3">
        <v>18342.582999999999</v>
      </c>
      <c r="O240" s="4"/>
      <c r="P240" s="4"/>
      <c r="Q240" s="4"/>
      <c r="R240" s="5">
        <v>0</v>
      </c>
      <c r="S240">
        <v>0</v>
      </c>
      <c r="T240" t="b">
        <v>1</v>
      </c>
      <c r="U240">
        <v>-1</v>
      </c>
      <c r="V240" s="4">
        <v>1.95</v>
      </c>
    </row>
    <row r="241" spans="1:22" hidden="1" x14ac:dyDescent="0.35">
      <c r="A241" t="s">
        <v>21</v>
      </c>
      <c r="B241">
        <v>3</v>
      </c>
      <c r="C241">
        <v>2</v>
      </c>
      <c r="D241">
        <v>10</v>
      </c>
      <c r="E241" t="s">
        <v>25</v>
      </c>
      <c r="F241">
        <v>200</v>
      </c>
      <c r="G241">
        <v>3</v>
      </c>
      <c r="H241">
        <v>20</v>
      </c>
      <c r="I241" t="s">
        <v>26</v>
      </c>
      <c r="J241" s="3">
        <v>616.50964699999997</v>
      </c>
      <c r="K241" s="3">
        <v>18342.582999999999</v>
      </c>
      <c r="L241" s="3">
        <v>18627.170999999998</v>
      </c>
      <c r="M241" s="3">
        <v>18342.582999999999</v>
      </c>
      <c r="N241" s="3">
        <v>18342.582999999999</v>
      </c>
      <c r="O241" s="4">
        <v>0</v>
      </c>
      <c r="P241" s="4">
        <v>1.5515000000000001</v>
      </c>
      <c r="Q241" s="4">
        <v>0</v>
      </c>
      <c r="R241" s="5">
        <v>2.5999999999999999E-3</v>
      </c>
      <c r="S241">
        <v>10</v>
      </c>
      <c r="T241" t="b">
        <v>0</v>
      </c>
      <c r="U241">
        <v>7</v>
      </c>
      <c r="V241" s="4">
        <v>243.94</v>
      </c>
    </row>
    <row r="242" spans="1:22" hidden="1" x14ac:dyDescent="0.35">
      <c r="A242" t="s">
        <v>21</v>
      </c>
      <c r="B242">
        <v>3</v>
      </c>
      <c r="C242">
        <v>3</v>
      </c>
      <c r="D242">
        <v>2</v>
      </c>
      <c r="E242" t="s">
        <v>22</v>
      </c>
      <c r="F242">
        <v>50</v>
      </c>
      <c r="G242">
        <v>1</v>
      </c>
      <c r="H242">
        <v>20</v>
      </c>
      <c r="I242" t="s">
        <v>26</v>
      </c>
      <c r="J242" s="3">
        <v>62.143465999999997</v>
      </c>
      <c r="K242" s="3">
        <v>18342.582999999999</v>
      </c>
      <c r="L242" s="3">
        <v>18356.73</v>
      </c>
      <c r="M242" s="3">
        <v>18342.582999999999</v>
      </c>
      <c r="N242" s="3">
        <v>18342.582999999999</v>
      </c>
      <c r="O242" s="4">
        <v>0</v>
      </c>
      <c r="P242" s="4">
        <v>7.7100000000000002E-2</v>
      </c>
      <c r="Q242" s="4">
        <v>0</v>
      </c>
      <c r="R242" s="5">
        <v>3.3E-3</v>
      </c>
      <c r="S242">
        <v>12</v>
      </c>
      <c r="T242" t="b">
        <v>0</v>
      </c>
      <c r="U242">
        <v>3</v>
      </c>
      <c r="V242" s="4">
        <v>15.47</v>
      </c>
    </row>
    <row r="243" spans="1:22" hidden="1" x14ac:dyDescent="0.35">
      <c r="A243" t="s">
        <v>21</v>
      </c>
      <c r="B243">
        <v>3</v>
      </c>
      <c r="C243">
        <v>3</v>
      </c>
      <c r="D243">
        <v>2</v>
      </c>
      <c r="E243" t="s">
        <v>22</v>
      </c>
      <c r="F243">
        <v>50</v>
      </c>
      <c r="G243">
        <v>3</v>
      </c>
      <c r="H243">
        <v>20</v>
      </c>
      <c r="I243" t="s">
        <v>26</v>
      </c>
      <c r="J243" s="3">
        <v>62.143465999999997</v>
      </c>
      <c r="K243" s="3">
        <v>18342.582999999999</v>
      </c>
      <c r="L243" s="3">
        <v>18356.73</v>
      </c>
      <c r="M243" s="3">
        <v>18342.582999999999</v>
      </c>
      <c r="N243" s="3">
        <v>18342.582999999999</v>
      </c>
      <c r="O243" s="4">
        <v>0</v>
      </c>
      <c r="P243" s="4">
        <v>7.7100000000000002E-2</v>
      </c>
      <c r="Q243" s="4">
        <v>0</v>
      </c>
      <c r="R243" s="5">
        <v>3.3E-3</v>
      </c>
      <c r="S243">
        <v>12</v>
      </c>
      <c r="T243" t="b">
        <v>0</v>
      </c>
      <c r="U243">
        <v>3</v>
      </c>
      <c r="V243" s="4">
        <v>45.24</v>
      </c>
    </row>
    <row r="244" spans="1:22" hidden="1" x14ac:dyDescent="0.35">
      <c r="A244" t="s">
        <v>21</v>
      </c>
      <c r="B244">
        <v>3</v>
      </c>
      <c r="C244">
        <v>3</v>
      </c>
      <c r="D244">
        <v>2</v>
      </c>
      <c r="E244" t="s">
        <v>22</v>
      </c>
      <c r="F244">
        <v>200</v>
      </c>
      <c r="G244">
        <v>1</v>
      </c>
      <c r="H244">
        <v>20</v>
      </c>
      <c r="I244" t="s">
        <v>26</v>
      </c>
      <c r="J244" s="3">
        <v>62.143465999999997</v>
      </c>
      <c r="K244" s="3">
        <v>18342.582999999999</v>
      </c>
      <c r="L244" s="3">
        <v>18356.73</v>
      </c>
      <c r="M244" s="3">
        <v>18342.582999999999</v>
      </c>
      <c r="N244" s="3">
        <v>18342.582999999999</v>
      </c>
      <c r="O244" s="4">
        <v>0</v>
      </c>
      <c r="P244" s="4">
        <v>7.7100000000000002E-2</v>
      </c>
      <c r="Q244" s="4">
        <v>0</v>
      </c>
      <c r="R244" s="5">
        <v>3.3E-3</v>
      </c>
      <c r="S244">
        <v>12</v>
      </c>
      <c r="T244" t="b">
        <v>0</v>
      </c>
      <c r="U244">
        <v>3</v>
      </c>
      <c r="V244" s="4">
        <v>20.190000000000001</v>
      </c>
    </row>
    <row r="245" spans="1:22" hidden="1" x14ac:dyDescent="0.35">
      <c r="A245" t="s">
        <v>21</v>
      </c>
      <c r="B245">
        <v>3</v>
      </c>
      <c r="C245">
        <v>3</v>
      </c>
      <c r="D245">
        <v>2</v>
      </c>
      <c r="E245" t="s">
        <v>22</v>
      </c>
      <c r="F245">
        <v>200</v>
      </c>
      <c r="G245">
        <v>3</v>
      </c>
      <c r="H245">
        <v>20</v>
      </c>
      <c r="I245" t="s">
        <v>26</v>
      </c>
      <c r="J245" s="3">
        <v>62.143465999999997</v>
      </c>
      <c r="K245" s="3">
        <v>18342.582999999999</v>
      </c>
      <c r="L245" s="3">
        <v>18356.73</v>
      </c>
      <c r="M245" s="3">
        <v>18342.582999999999</v>
      </c>
      <c r="N245" s="3">
        <v>18342.582999999999</v>
      </c>
      <c r="O245" s="4">
        <v>0</v>
      </c>
      <c r="P245" s="4">
        <v>7.7100000000000002E-2</v>
      </c>
      <c r="Q245" s="4">
        <v>0</v>
      </c>
      <c r="R245" s="5">
        <v>3.3E-3</v>
      </c>
      <c r="S245">
        <v>12</v>
      </c>
      <c r="T245" t="b">
        <v>0</v>
      </c>
      <c r="U245">
        <v>3</v>
      </c>
      <c r="V245" s="4">
        <v>52.22</v>
      </c>
    </row>
    <row r="246" spans="1:22" hidden="1" x14ac:dyDescent="0.35">
      <c r="A246" t="s">
        <v>21</v>
      </c>
      <c r="B246">
        <v>3</v>
      </c>
      <c r="C246">
        <v>3</v>
      </c>
      <c r="D246">
        <v>2</v>
      </c>
      <c r="E246" t="s">
        <v>25</v>
      </c>
      <c r="F246">
        <v>50</v>
      </c>
      <c r="G246">
        <v>1</v>
      </c>
      <c r="H246">
        <v>20</v>
      </c>
      <c r="I246" t="s">
        <v>26</v>
      </c>
      <c r="J246" s="3">
        <v>167.72649000000001</v>
      </c>
      <c r="K246" s="3">
        <v>19023.089</v>
      </c>
      <c r="L246" s="3">
        <v>19023.089</v>
      </c>
      <c r="M246" s="3">
        <v>19023.089</v>
      </c>
      <c r="N246" s="3">
        <v>18342.582999999999</v>
      </c>
      <c r="O246" s="4">
        <v>3.71</v>
      </c>
      <c r="P246" s="4">
        <v>3.71</v>
      </c>
      <c r="Q246" s="4">
        <v>3.71</v>
      </c>
      <c r="R246" s="5">
        <v>1E-4</v>
      </c>
      <c r="S246">
        <v>1</v>
      </c>
      <c r="T246" t="b">
        <v>0</v>
      </c>
      <c r="U246">
        <v>1</v>
      </c>
      <c r="V246" s="4">
        <v>2.93</v>
      </c>
    </row>
    <row r="247" spans="1:22" hidden="1" x14ac:dyDescent="0.35">
      <c r="A247" t="s">
        <v>21</v>
      </c>
      <c r="B247">
        <v>3</v>
      </c>
      <c r="C247">
        <v>3</v>
      </c>
      <c r="D247">
        <v>2</v>
      </c>
      <c r="E247" t="s">
        <v>25</v>
      </c>
      <c r="F247">
        <v>50</v>
      </c>
      <c r="G247">
        <v>3</v>
      </c>
      <c r="H247">
        <v>20</v>
      </c>
      <c r="I247" t="s">
        <v>26</v>
      </c>
      <c r="J247" s="3">
        <v>167.174778</v>
      </c>
      <c r="K247" s="3">
        <v>19023.089</v>
      </c>
      <c r="L247" s="3">
        <v>19023.089</v>
      </c>
      <c r="M247" s="3">
        <v>19023.089</v>
      </c>
      <c r="N247" s="3">
        <v>18342.582999999999</v>
      </c>
      <c r="O247" s="4">
        <v>3.71</v>
      </c>
      <c r="P247" s="4">
        <v>3.71</v>
      </c>
      <c r="Q247" s="4">
        <v>3.71</v>
      </c>
      <c r="R247" s="5">
        <v>1E-4</v>
      </c>
      <c r="S247">
        <v>1</v>
      </c>
      <c r="T247" t="b">
        <v>0</v>
      </c>
      <c r="U247">
        <v>1</v>
      </c>
      <c r="V247" s="4">
        <v>8.17</v>
      </c>
    </row>
    <row r="248" spans="1:22" hidden="1" x14ac:dyDescent="0.35">
      <c r="A248" t="s">
        <v>21</v>
      </c>
      <c r="B248">
        <v>3</v>
      </c>
      <c r="C248">
        <v>3</v>
      </c>
      <c r="D248">
        <v>2</v>
      </c>
      <c r="E248" t="s">
        <v>25</v>
      </c>
      <c r="F248">
        <v>200</v>
      </c>
      <c r="G248">
        <v>1</v>
      </c>
      <c r="H248">
        <v>20</v>
      </c>
      <c r="I248" t="s">
        <v>26</v>
      </c>
      <c r="J248" s="3">
        <v>167.72649000000001</v>
      </c>
      <c r="K248" s="3">
        <v>19023.089</v>
      </c>
      <c r="L248" s="3">
        <v>19023.089</v>
      </c>
      <c r="M248" s="3">
        <v>19023.089</v>
      </c>
      <c r="N248" s="3">
        <v>18342.582999999999</v>
      </c>
      <c r="O248" s="4">
        <v>3.71</v>
      </c>
      <c r="P248" s="4">
        <v>3.71</v>
      </c>
      <c r="Q248" s="4">
        <v>3.71</v>
      </c>
      <c r="R248" s="5">
        <v>1E-4</v>
      </c>
      <c r="S248">
        <v>1</v>
      </c>
      <c r="T248" t="b">
        <v>0</v>
      </c>
      <c r="U248">
        <v>1</v>
      </c>
      <c r="V248" s="4">
        <v>2.85</v>
      </c>
    </row>
    <row r="249" spans="1:22" hidden="1" x14ac:dyDescent="0.35">
      <c r="A249" t="s">
        <v>21</v>
      </c>
      <c r="B249">
        <v>3</v>
      </c>
      <c r="C249">
        <v>3</v>
      </c>
      <c r="D249">
        <v>2</v>
      </c>
      <c r="E249" t="s">
        <v>25</v>
      </c>
      <c r="F249">
        <v>200</v>
      </c>
      <c r="G249">
        <v>3</v>
      </c>
      <c r="H249">
        <v>20</v>
      </c>
      <c r="I249" t="s">
        <v>26</v>
      </c>
      <c r="J249" s="3">
        <v>167.174778</v>
      </c>
      <c r="K249" s="3">
        <v>19023.089</v>
      </c>
      <c r="L249" s="3">
        <v>19023.089</v>
      </c>
      <c r="M249" s="3">
        <v>19023.089</v>
      </c>
      <c r="N249" s="3">
        <v>18342.582999999999</v>
      </c>
      <c r="O249" s="4">
        <v>3.71</v>
      </c>
      <c r="P249" s="4">
        <v>3.71</v>
      </c>
      <c r="Q249" s="4">
        <v>3.71</v>
      </c>
      <c r="R249" s="5">
        <v>1E-4</v>
      </c>
      <c r="S249">
        <v>1</v>
      </c>
      <c r="T249" t="b">
        <v>0</v>
      </c>
      <c r="U249">
        <v>1</v>
      </c>
      <c r="V249" s="4">
        <v>7.65</v>
      </c>
    </row>
    <row r="250" spans="1:22" hidden="1" x14ac:dyDescent="0.35">
      <c r="A250" t="s">
        <v>21</v>
      </c>
      <c r="B250">
        <v>3</v>
      </c>
      <c r="C250">
        <v>3</v>
      </c>
      <c r="D250">
        <v>5</v>
      </c>
      <c r="E250" t="s">
        <v>22</v>
      </c>
      <c r="F250">
        <v>50</v>
      </c>
      <c r="G250">
        <v>1</v>
      </c>
      <c r="H250">
        <v>20</v>
      </c>
      <c r="I250" t="s">
        <v>26</v>
      </c>
      <c r="J250" s="3">
        <v>280.149494</v>
      </c>
      <c r="K250" s="3">
        <v>18342.582999999999</v>
      </c>
      <c r="L250" s="3">
        <v>19023.089</v>
      </c>
      <c r="M250" s="3">
        <v>18342.582999999999</v>
      </c>
      <c r="N250" s="3">
        <v>18342.582999999999</v>
      </c>
      <c r="O250" s="4">
        <v>0</v>
      </c>
      <c r="P250" s="4">
        <v>3.71</v>
      </c>
      <c r="Q250" s="4">
        <v>0</v>
      </c>
      <c r="R250" s="5">
        <v>2.5000000000000001E-3</v>
      </c>
      <c r="S250">
        <v>10</v>
      </c>
      <c r="T250" t="b">
        <v>0</v>
      </c>
      <c r="U250">
        <v>2</v>
      </c>
      <c r="V250" s="4">
        <v>15.43</v>
      </c>
    </row>
    <row r="251" spans="1:22" hidden="1" x14ac:dyDescent="0.35">
      <c r="A251" t="s">
        <v>21</v>
      </c>
      <c r="B251">
        <v>3</v>
      </c>
      <c r="C251">
        <v>3</v>
      </c>
      <c r="D251">
        <v>5</v>
      </c>
      <c r="E251" t="s">
        <v>22</v>
      </c>
      <c r="F251">
        <v>50</v>
      </c>
      <c r="G251">
        <v>3</v>
      </c>
      <c r="H251">
        <v>20</v>
      </c>
      <c r="I251" t="s">
        <v>26</v>
      </c>
      <c r="J251" s="3">
        <v>167.22337999999999</v>
      </c>
      <c r="K251" s="3">
        <v>18342.582999999999</v>
      </c>
      <c r="L251" s="3">
        <v>18356.73</v>
      </c>
      <c r="M251" s="3">
        <v>18342.582999999999</v>
      </c>
      <c r="N251" s="3">
        <v>18342.582999999999</v>
      </c>
      <c r="O251" s="4">
        <v>0</v>
      </c>
      <c r="P251" s="4">
        <v>7.7100000000000002E-2</v>
      </c>
      <c r="Q251" s="4">
        <v>0</v>
      </c>
      <c r="R251" s="5">
        <v>2.8999999999999998E-3</v>
      </c>
      <c r="S251">
        <v>10</v>
      </c>
      <c r="T251" t="b">
        <v>0</v>
      </c>
      <c r="U251">
        <v>2</v>
      </c>
      <c r="V251" s="4">
        <v>45.06</v>
      </c>
    </row>
    <row r="252" spans="1:22" hidden="1" x14ac:dyDescent="0.35">
      <c r="A252" t="s">
        <v>21</v>
      </c>
      <c r="B252">
        <v>3</v>
      </c>
      <c r="C252">
        <v>3</v>
      </c>
      <c r="D252">
        <v>5</v>
      </c>
      <c r="E252" t="s">
        <v>22</v>
      </c>
      <c r="F252">
        <v>200</v>
      </c>
      <c r="G252">
        <v>1</v>
      </c>
      <c r="H252">
        <v>20</v>
      </c>
      <c r="I252" t="s">
        <v>26</v>
      </c>
      <c r="J252" s="3">
        <v>280.149494</v>
      </c>
      <c r="K252" s="3">
        <v>18342.582999999999</v>
      </c>
      <c r="L252" s="3">
        <v>19023.089</v>
      </c>
      <c r="M252" s="3">
        <v>18342.582999999999</v>
      </c>
      <c r="N252" s="3">
        <v>18342.582999999999</v>
      </c>
      <c r="O252" s="4">
        <v>0</v>
      </c>
      <c r="P252" s="4">
        <v>3.71</v>
      </c>
      <c r="Q252" s="4">
        <v>0</v>
      </c>
      <c r="R252" s="5">
        <v>2.5000000000000001E-3</v>
      </c>
      <c r="S252">
        <v>10</v>
      </c>
      <c r="T252" t="b">
        <v>0</v>
      </c>
      <c r="U252">
        <v>2</v>
      </c>
      <c r="V252" s="4">
        <v>15.76</v>
      </c>
    </row>
    <row r="253" spans="1:22" hidden="1" x14ac:dyDescent="0.35">
      <c r="A253" t="s">
        <v>21</v>
      </c>
      <c r="B253">
        <v>3</v>
      </c>
      <c r="C253">
        <v>3</v>
      </c>
      <c r="D253">
        <v>5</v>
      </c>
      <c r="E253" t="s">
        <v>22</v>
      </c>
      <c r="F253">
        <v>200</v>
      </c>
      <c r="G253">
        <v>3</v>
      </c>
      <c r="H253">
        <v>20</v>
      </c>
      <c r="I253" t="s">
        <v>26</v>
      </c>
      <c r="J253" s="3">
        <v>166.66133400000001</v>
      </c>
      <c r="K253" s="3">
        <v>18342.582999999999</v>
      </c>
      <c r="L253" s="3">
        <v>18356.73</v>
      </c>
      <c r="M253" s="3">
        <v>18342.582999999999</v>
      </c>
      <c r="N253" s="3">
        <v>18342.582999999999</v>
      </c>
      <c r="O253" s="4">
        <v>0</v>
      </c>
      <c r="P253" s="4">
        <v>7.7100000000000002E-2</v>
      </c>
      <c r="Q253" s="4">
        <v>0</v>
      </c>
      <c r="R253" s="5">
        <v>3.0999999999999999E-3</v>
      </c>
      <c r="S253">
        <v>10</v>
      </c>
      <c r="T253" t="b">
        <v>0</v>
      </c>
      <c r="U253">
        <v>2</v>
      </c>
      <c r="V253" s="4">
        <v>50.31</v>
      </c>
    </row>
    <row r="254" spans="1:22" hidden="1" x14ac:dyDescent="0.35">
      <c r="A254" t="s">
        <v>21</v>
      </c>
      <c r="B254">
        <v>3</v>
      </c>
      <c r="C254">
        <v>3</v>
      </c>
      <c r="D254">
        <v>5</v>
      </c>
      <c r="E254" t="s">
        <v>25</v>
      </c>
      <c r="F254">
        <v>50</v>
      </c>
      <c r="G254">
        <v>1</v>
      </c>
      <c r="H254">
        <v>20</v>
      </c>
      <c r="I254" t="s">
        <v>26</v>
      </c>
      <c r="J254" s="3">
        <v>411.70433200000002</v>
      </c>
      <c r="K254" s="3">
        <v>18356.73</v>
      </c>
      <c r="L254" s="3">
        <v>18356.73</v>
      </c>
      <c r="M254" s="3">
        <v>18356.73</v>
      </c>
      <c r="N254" s="3">
        <v>18342.582999999999</v>
      </c>
      <c r="O254" s="4">
        <v>7.7100000000000002E-2</v>
      </c>
      <c r="P254" s="4">
        <v>7.7100000000000002E-2</v>
      </c>
      <c r="Q254" s="4">
        <v>7.7100000000000002E-2</v>
      </c>
      <c r="R254" s="5">
        <v>1E-4</v>
      </c>
      <c r="S254">
        <v>1</v>
      </c>
      <c r="T254" t="b">
        <v>0</v>
      </c>
      <c r="U254">
        <v>1</v>
      </c>
      <c r="V254" s="4">
        <v>2.85</v>
      </c>
    </row>
    <row r="255" spans="1:22" hidden="1" x14ac:dyDescent="0.35">
      <c r="A255" t="s">
        <v>21</v>
      </c>
      <c r="B255">
        <v>3</v>
      </c>
      <c r="C255">
        <v>3</v>
      </c>
      <c r="D255">
        <v>5</v>
      </c>
      <c r="E255" t="s">
        <v>25</v>
      </c>
      <c r="F255">
        <v>50</v>
      </c>
      <c r="G255">
        <v>3</v>
      </c>
      <c r="H255">
        <v>20</v>
      </c>
      <c r="I255" t="s">
        <v>26</v>
      </c>
      <c r="J255" s="3">
        <v>410.15889199999998</v>
      </c>
      <c r="K255" s="3" t="s">
        <v>24</v>
      </c>
      <c r="L255" s="3" t="s">
        <v>24</v>
      </c>
      <c r="M255" s="3" t="s">
        <v>24</v>
      </c>
      <c r="N255" s="3">
        <v>18342.582999999999</v>
      </c>
      <c r="O255" s="4"/>
      <c r="P255" s="4"/>
      <c r="Q255" s="4"/>
      <c r="R255" s="5">
        <v>0</v>
      </c>
      <c r="S255">
        <v>0</v>
      </c>
      <c r="T255" t="b">
        <v>1</v>
      </c>
      <c r="U255">
        <v>-1</v>
      </c>
      <c r="V255" s="4">
        <v>7.7</v>
      </c>
    </row>
    <row r="256" spans="1:22" hidden="1" x14ac:dyDescent="0.35">
      <c r="A256" t="s">
        <v>21</v>
      </c>
      <c r="B256">
        <v>3</v>
      </c>
      <c r="C256">
        <v>3</v>
      </c>
      <c r="D256">
        <v>5</v>
      </c>
      <c r="E256" t="s">
        <v>25</v>
      </c>
      <c r="F256">
        <v>200</v>
      </c>
      <c r="G256">
        <v>1</v>
      </c>
      <c r="H256">
        <v>20</v>
      </c>
      <c r="I256" t="s">
        <v>26</v>
      </c>
      <c r="J256" s="3">
        <v>411.70433200000002</v>
      </c>
      <c r="K256" s="3">
        <v>18356.73</v>
      </c>
      <c r="L256" s="3">
        <v>18356.73</v>
      </c>
      <c r="M256" s="3">
        <v>18356.73</v>
      </c>
      <c r="N256" s="3">
        <v>18342.582999999999</v>
      </c>
      <c r="O256" s="4">
        <v>7.7100000000000002E-2</v>
      </c>
      <c r="P256" s="4">
        <v>7.7100000000000002E-2</v>
      </c>
      <c r="Q256" s="4">
        <v>7.7100000000000002E-2</v>
      </c>
      <c r="R256" s="5">
        <v>1E-4</v>
      </c>
      <c r="S256">
        <v>1</v>
      </c>
      <c r="T256" t="b">
        <v>0</v>
      </c>
      <c r="U256">
        <v>1</v>
      </c>
      <c r="V256" s="4">
        <v>2.91</v>
      </c>
    </row>
    <row r="257" spans="1:22" hidden="1" x14ac:dyDescent="0.35">
      <c r="A257" t="s">
        <v>21</v>
      </c>
      <c r="B257">
        <v>3</v>
      </c>
      <c r="C257">
        <v>3</v>
      </c>
      <c r="D257">
        <v>5</v>
      </c>
      <c r="E257" t="s">
        <v>25</v>
      </c>
      <c r="F257">
        <v>200</v>
      </c>
      <c r="G257">
        <v>3</v>
      </c>
      <c r="H257">
        <v>20</v>
      </c>
      <c r="I257" t="s">
        <v>26</v>
      </c>
      <c r="J257" s="3">
        <v>410.15889199999998</v>
      </c>
      <c r="K257" s="3" t="s">
        <v>24</v>
      </c>
      <c r="L257" s="3" t="s">
        <v>24</v>
      </c>
      <c r="M257" s="3" t="s">
        <v>24</v>
      </c>
      <c r="N257" s="3">
        <v>18342.582999999999</v>
      </c>
      <c r="O257" s="4"/>
      <c r="P257" s="4"/>
      <c r="Q257" s="4"/>
      <c r="R257" s="5">
        <v>0</v>
      </c>
      <c r="S257">
        <v>0</v>
      </c>
      <c r="T257" t="b">
        <v>1</v>
      </c>
      <c r="U257">
        <v>-1</v>
      </c>
      <c r="V257" s="4">
        <v>7.72</v>
      </c>
    </row>
    <row r="258" spans="1:22" hidden="1" x14ac:dyDescent="0.35">
      <c r="A258" t="s">
        <v>21</v>
      </c>
      <c r="B258">
        <v>3</v>
      </c>
      <c r="C258">
        <v>3</v>
      </c>
      <c r="D258">
        <v>10</v>
      </c>
      <c r="E258" t="s">
        <v>22</v>
      </c>
      <c r="F258">
        <v>50</v>
      </c>
      <c r="G258">
        <v>1</v>
      </c>
      <c r="H258">
        <v>20</v>
      </c>
      <c r="I258" t="s">
        <v>26</v>
      </c>
      <c r="J258" s="3">
        <v>782.80651599999999</v>
      </c>
      <c r="K258" s="3" t="s">
        <v>24</v>
      </c>
      <c r="L258" s="3" t="s">
        <v>24</v>
      </c>
      <c r="M258" s="3" t="s">
        <v>24</v>
      </c>
      <c r="N258" s="3">
        <v>18342.582999999999</v>
      </c>
      <c r="O258" s="4"/>
      <c r="P258" s="4"/>
      <c r="Q258" s="4"/>
      <c r="R258" s="5">
        <v>0</v>
      </c>
      <c r="S258">
        <v>0</v>
      </c>
      <c r="T258" t="b">
        <v>1</v>
      </c>
      <c r="U258">
        <v>-1</v>
      </c>
      <c r="V258" s="4">
        <v>15.8</v>
      </c>
    </row>
    <row r="259" spans="1:22" hidden="1" x14ac:dyDescent="0.35">
      <c r="A259" t="s">
        <v>21</v>
      </c>
      <c r="B259">
        <v>3</v>
      </c>
      <c r="C259">
        <v>3</v>
      </c>
      <c r="D259">
        <v>10</v>
      </c>
      <c r="E259" t="s">
        <v>22</v>
      </c>
      <c r="F259">
        <v>50</v>
      </c>
      <c r="G259">
        <v>3</v>
      </c>
      <c r="H259">
        <v>20</v>
      </c>
      <c r="I259" t="s">
        <v>26</v>
      </c>
      <c r="J259" s="3">
        <v>776.57463299999995</v>
      </c>
      <c r="K259" s="3" t="s">
        <v>24</v>
      </c>
      <c r="L259" s="3" t="s">
        <v>24</v>
      </c>
      <c r="M259" s="3" t="s">
        <v>24</v>
      </c>
      <c r="N259" s="3">
        <v>18342.582999999999</v>
      </c>
      <c r="O259" s="4"/>
      <c r="P259" s="4"/>
      <c r="Q259" s="4"/>
      <c r="R259" s="5">
        <v>0</v>
      </c>
      <c r="S259">
        <v>0</v>
      </c>
      <c r="T259" t="b">
        <v>1</v>
      </c>
      <c r="U259">
        <v>-1</v>
      </c>
      <c r="V259" s="4">
        <v>44.99</v>
      </c>
    </row>
    <row r="260" spans="1:22" hidden="1" x14ac:dyDescent="0.35">
      <c r="A260" t="s">
        <v>21</v>
      </c>
      <c r="B260">
        <v>3</v>
      </c>
      <c r="C260">
        <v>3</v>
      </c>
      <c r="D260">
        <v>10</v>
      </c>
      <c r="E260" t="s">
        <v>22</v>
      </c>
      <c r="F260">
        <v>200</v>
      </c>
      <c r="G260">
        <v>1</v>
      </c>
      <c r="H260">
        <v>20</v>
      </c>
      <c r="I260" t="s">
        <v>26</v>
      </c>
      <c r="J260" s="3">
        <v>781.71663699999999</v>
      </c>
      <c r="K260" s="3" t="s">
        <v>24</v>
      </c>
      <c r="L260" s="3" t="s">
        <v>24</v>
      </c>
      <c r="M260" s="3" t="s">
        <v>24</v>
      </c>
      <c r="N260" s="3">
        <v>18342.582999999999</v>
      </c>
      <c r="O260" s="4"/>
      <c r="P260" s="4"/>
      <c r="Q260" s="4"/>
      <c r="R260" s="5">
        <v>0</v>
      </c>
      <c r="S260">
        <v>0</v>
      </c>
      <c r="T260" t="b">
        <v>1</v>
      </c>
      <c r="U260">
        <v>-1</v>
      </c>
      <c r="V260" s="4">
        <v>17.3</v>
      </c>
    </row>
    <row r="261" spans="1:22" hidden="1" x14ac:dyDescent="0.35">
      <c r="A261" t="s">
        <v>21</v>
      </c>
      <c r="B261">
        <v>3</v>
      </c>
      <c r="C261">
        <v>3</v>
      </c>
      <c r="D261">
        <v>10</v>
      </c>
      <c r="E261" t="s">
        <v>22</v>
      </c>
      <c r="F261">
        <v>200</v>
      </c>
      <c r="G261">
        <v>3</v>
      </c>
      <c r="H261">
        <v>20</v>
      </c>
      <c r="I261" t="s">
        <v>26</v>
      </c>
      <c r="J261" s="3">
        <v>776.57463299999995</v>
      </c>
      <c r="K261" s="3" t="s">
        <v>24</v>
      </c>
      <c r="L261" s="3" t="s">
        <v>24</v>
      </c>
      <c r="M261" s="3" t="s">
        <v>24</v>
      </c>
      <c r="N261" s="3">
        <v>18342.582999999999</v>
      </c>
      <c r="O261" s="4"/>
      <c r="P261" s="4"/>
      <c r="Q261" s="4"/>
      <c r="R261" s="5">
        <v>0</v>
      </c>
      <c r="S261">
        <v>0</v>
      </c>
      <c r="T261" t="b">
        <v>1</v>
      </c>
      <c r="U261">
        <v>-1</v>
      </c>
      <c r="V261" s="4">
        <v>48.88</v>
      </c>
    </row>
    <row r="262" spans="1:22" hidden="1" x14ac:dyDescent="0.35">
      <c r="A262" t="s">
        <v>21</v>
      </c>
      <c r="B262">
        <v>3</v>
      </c>
      <c r="C262">
        <v>3</v>
      </c>
      <c r="D262">
        <v>10</v>
      </c>
      <c r="E262" t="s">
        <v>25</v>
      </c>
      <c r="F262">
        <v>50</v>
      </c>
      <c r="G262">
        <v>1</v>
      </c>
      <c r="H262">
        <v>20</v>
      </c>
      <c r="I262" t="s">
        <v>26</v>
      </c>
      <c r="J262" s="3">
        <v>815.84713499999998</v>
      </c>
      <c r="K262" s="3" t="s">
        <v>24</v>
      </c>
      <c r="L262" s="3" t="s">
        <v>24</v>
      </c>
      <c r="M262" s="3" t="s">
        <v>24</v>
      </c>
      <c r="N262" s="3">
        <v>18342.582999999999</v>
      </c>
      <c r="O262" s="4"/>
      <c r="P262" s="4"/>
      <c r="Q262" s="4"/>
      <c r="R262" s="5">
        <v>0</v>
      </c>
      <c r="S262">
        <v>0</v>
      </c>
      <c r="T262" t="b">
        <v>1</v>
      </c>
      <c r="U262">
        <v>-1</v>
      </c>
      <c r="V262" s="4">
        <v>2.91</v>
      </c>
    </row>
    <row r="263" spans="1:22" hidden="1" x14ac:dyDescent="0.35">
      <c r="A263" t="s">
        <v>21</v>
      </c>
      <c r="B263">
        <v>3</v>
      </c>
      <c r="C263">
        <v>3</v>
      </c>
      <c r="D263">
        <v>10</v>
      </c>
      <c r="E263" t="s">
        <v>25</v>
      </c>
      <c r="F263">
        <v>50</v>
      </c>
      <c r="G263">
        <v>3</v>
      </c>
      <c r="H263">
        <v>20</v>
      </c>
      <c r="I263" t="s">
        <v>26</v>
      </c>
      <c r="J263" s="3">
        <v>813.51951799999995</v>
      </c>
      <c r="K263" s="3" t="s">
        <v>24</v>
      </c>
      <c r="L263" s="3" t="s">
        <v>24</v>
      </c>
      <c r="M263" s="3" t="s">
        <v>24</v>
      </c>
      <c r="N263" s="3">
        <v>18342.582999999999</v>
      </c>
      <c r="O263" s="4"/>
      <c r="P263" s="4"/>
      <c r="Q263" s="4"/>
      <c r="R263" s="5">
        <v>0</v>
      </c>
      <c r="S263">
        <v>0</v>
      </c>
      <c r="T263" t="b">
        <v>1</v>
      </c>
      <c r="U263">
        <v>-1</v>
      </c>
      <c r="V263" s="4">
        <v>7.56</v>
      </c>
    </row>
    <row r="264" spans="1:22" hidden="1" x14ac:dyDescent="0.35">
      <c r="A264" t="s">
        <v>21</v>
      </c>
      <c r="B264">
        <v>3</v>
      </c>
      <c r="C264">
        <v>3</v>
      </c>
      <c r="D264">
        <v>10</v>
      </c>
      <c r="E264" t="s">
        <v>25</v>
      </c>
      <c r="F264">
        <v>200</v>
      </c>
      <c r="G264">
        <v>1</v>
      </c>
      <c r="H264">
        <v>20</v>
      </c>
      <c r="I264" t="s">
        <v>26</v>
      </c>
      <c r="J264" s="3">
        <v>815.84713499999998</v>
      </c>
      <c r="K264" s="3" t="s">
        <v>24</v>
      </c>
      <c r="L264" s="3" t="s">
        <v>24</v>
      </c>
      <c r="M264" s="3" t="s">
        <v>24</v>
      </c>
      <c r="N264" s="3">
        <v>18342.582999999999</v>
      </c>
      <c r="O264" s="4"/>
      <c r="P264" s="4"/>
      <c r="Q264" s="4"/>
      <c r="R264" s="5">
        <v>0</v>
      </c>
      <c r="S264">
        <v>0</v>
      </c>
      <c r="T264" t="b">
        <v>1</v>
      </c>
      <c r="U264">
        <v>-1</v>
      </c>
      <c r="V264" s="4">
        <v>3.04</v>
      </c>
    </row>
    <row r="265" spans="1:22" hidden="1" x14ac:dyDescent="0.35">
      <c r="A265" t="s">
        <v>21</v>
      </c>
      <c r="B265">
        <v>3</v>
      </c>
      <c r="C265">
        <v>3</v>
      </c>
      <c r="D265">
        <v>10</v>
      </c>
      <c r="E265" t="s">
        <v>25</v>
      </c>
      <c r="F265">
        <v>200</v>
      </c>
      <c r="G265">
        <v>3</v>
      </c>
      <c r="H265">
        <v>20</v>
      </c>
      <c r="I265" t="s">
        <v>26</v>
      </c>
      <c r="J265" s="3">
        <v>813.51951799999995</v>
      </c>
      <c r="K265" s="3" t="s">
        <v>24</v>
      </c>
      <c r="L265" s="3" t="s">
        <v>24</v>
      </c>
      <c r="M265" s="3" t="s">
        <v>24</v>
      </c>
      <c r="N265" s="3">
        <v>18342.582999999999</v>
      </c>
      <c r="O265" s="4"/>
      <c r="P265" s="4"/>
      <c r="Q265" s="4"/>
      <c r="R265" s="5">
        <v>0</v>
      </c>
      <c r="S265">
        <v>0</v>
      </c>
      <c r="T265" t="b">
        <v>1</v>
      </c>
      <c r="U265">
        <v>-1</v>
      </c>
      <c r="V265" s="4">
        <v>7.78</v>
      </c>
    </row>
    <row r="266" spans="1:22" hidden="1" x14ac:dyDescent="0.35">
      <c r="A266" t="s">
        <v>21</v>
      </c>
      <c r="B266">
        <v>3</v>
      </c>
      <c r="C266">
        <v>5</v>
      </c>
      <c r="D266">
        <v>2</v>
      </c>
      <c r="E266" t="s">
        <v>22</v>
      </c>
      <c r="F266">
        <v>50</v>
      </c>
      <c r="G266">
        <v>1</v>
      </c>
      <c r="H266">
        <v>20</v>
      </c>
      <c r="I266" t="s">
        <v>26</v>
      </c>
      <c r="J266" s="3">
        <v>166.37380099999999</v>
      </c>
      <c r="K266" s="3" t="s">
        <v>24</v>
      </c>
      <c r="L266" s="3" t="s">
        <v>24</v>
      </c>
      <c r="M266" s="3" t="s">
        <v>24</v>
      </c>
      <c r="N266" s="3">
        <v>18342.582999999999</v>
      </c>
      <c r="O266" s="4"/>
      <c r="P266" s="4"/>
      <c r="Q266" s="4"/>
      <c r="R266" s="5">
        <v>0</v>
      </c>
      <c r="S266">
        <v>0</v>
      </c>
      <c r="T266" t="b">
        <v>1</v>
      </c>
      <c r="U266">
        <v>-1</v>
      </c>
      <c r="V266" s="4">
        <v>20.97</v>
      </c>
    </row>
    <row r="267" spans="1:22" hidden="1" x14ac:dyDescent="0.35">
      <c r="A267" t="s">
        <v>21</v>
      </c>
      <c r="B267">
        <v>3</v>
      </c>
      <c r="C267">
        <v>5</v>
      </c>
      <c r="D267">
        <v>2</v>
      </c>
      <c r="E267" t="s">
        <v>22</v>
      </c>
      <c r="F267">
        <v>50</v>
      </c>
      <c r="G267">
        <v>3</v>
      </c>
      <c r="H267">
        <v>20</v>
      </c>
      <c r="I267" t="s">
        <v>26</v>
      </c>
      <c r="J267" s="3">
        <v>91.341524000000007</v>
      </c>
      <c r="K267" s="3">
        <v>18342.582999999999</v>
      </c>
      <c r="L267" s="3">
        <v>18356.73</v>
      </c>
      <c r="M267" s="3">
        <v>18342.582999999999</v>
      </c>
      <c r="N267" s="3">
        <v>18342.582999999999</v>
      </c>
      <c r="O267" s="4">
        <v>0</v>
      </c>
      <c r="P267" s="4">
        <v>7.7100000000000002E-2</v>
      </c>
      <c r="Q267" s="4">
        <v>0</v>
      </c>
      <c r="R267" s="5">
        <v>6.7999999999999996E-3</v>
      </c>
      <c r="S267">
        <v>12</v>
      </c>
      <c r="T267" t="b">
        <v>0</v>
      </c>
      <c r="U267">
        <v>4</v>
      </c>
      <c r="V267" s="4">
        <v>61.63</v>
      </c>
    </row>
    <row r="268" spans="1:22" hidden="1" x14ac:dyDescent="0.35">
      <c r="A268" t="s">
        <v>21</v>
      </c>
      <c r="B268">
        <v>3</v>
      </c>
      <c r="C268">
        <v>5</v>
      </c>
      <c r="D268">
        <v>2</v>
      </c>
      <c r="E268" t="s">
        <v>22</v>
      </c>
      <c r="F268">
        <v>200</v>
      </c>
      <c r="G268">
        <v>1</v>
      </c>
      <c r="H268">
        <v>20</v>
      </c>
      <c r="I268" t="s">
        <v>26</v>
      </c>
      <c r="J268" s="3">
        <v>166.09531999999999</v>
      </c>
      <c r="K268" s="3" t="s">
        <v>24</v>
      </c>
      <c r="L268" s="3" t="s">
        <v>24</v>
      </c>
      <c r="M268" s="3" t="s">
        <v>24</v>
      </c>
      <c r="N268" s="3">
        <v>18342.582999999999</v>
      </c>
      <c r="O268" s="4"/>
      <c r="P268" s="4"/>
      <c r="Q268" s="4"/>
      <c r="R268" s="5">
        <v>0</v>
      </c>
      <c r="S268">
        <v>0</v>
      </c>
      <c r="T268" t="b">
        <v>1</v>
      </c>
      <c r="U268">
        <v>-1</v>
      </c>
      <c r="V268" s="4">
        <v>31.16</v>
      </c>
    </row>
    <row r="269" spans="1:22" hidden="1" x14ac:dyDescent="0.35">
      <c r="A269" t="s">
        <v>21</v>
      </c>
      <c r="B269">
        <v>3</v>
      </c>
      <c r="C269">
        <v>5</v>
      </c>
      <c r="D269">
        <v>2</v>
      </c>
      <c r="E269" t="s">
        <v>22</v>
      </c>
      <c r="F269">
        <v>200</v>
      </c>
      <c r="G269">
        <v>3</v>
      </c>
      <c r="H269">
        <v>20</v>
      </c>
      <c r="I269" t="s">
        <v>26</v>
      </c>
      <c r="J269" s="3">
        <v>73.922171000000006</v>
      </c>
      <c r="K269" s="3">
        <v>18342.582999999999</v>
      </c>
      <c r="L269" s="3">
        <v>18356.73</v>
      </c>
      <c r="M269" s="3">
        <v>18342.582999999999</v>
      </c>
      <c r="N269" s="3">
        <v>18342.582999999999</v>
      </c>
      <c r="O269" s="4">
        <v>0</v>
      </c>
      <c r="P269" s="4">
        <v>7.7100000000000002E-2</v>
      </c>
      <c r="Q269" s="4">
        <v>0</v>
      </c>
      <c r="R269" s="5">
        <v>1.2500000000000001E-2</v>
      </c>
      <c r="S269">
        <v>12</v>
      </c>
      <c r="T269" t="b">
        <v>0</v>
      </c>
      <c r="U269">
        <v>6</v>
      </c>
      <c r="V269" s="4">
        <v>107.65</v>
      </c>
    </row>
    <row r="270" spans="1:22" hidden="1" x14ac:dyDescent="0.35">
      <c r="A270" t="s">
        <v>21</v>
      </c>
      <c r="B270">
        <v>3</v>
      </c>
      <c r="C270">
        <v>5</v>
      </c>
      <c r="D270">
        <v>2</v>
      </c>
      <c r="E270" t="s">
        <v>25</v>
      </c>
      <c r="F270">
        <v>50</v>
      </c>
      <c r="G270">
        <v>1</v>
      </c>
      <c r="H270">
        <v>20</v>
      </c>
      <c r="I270" t="s">
        <v>26</v>
      </c>
      <c r="J270" s="3">
        <v>169.497928</v>
      </c>
      <c r="K270" s="3" t="s">
        <v>24</v>
      </c>
      <c r="L270" s="3" t="s">
        <v>24</v>
      </c>
      <c r="M270" s="3" t="s">
        <v>24</v>
      </c>
      <c r="N270" s="3">
        <v>18342.582999999999</v>
      </c>
      <c r="O270" s="4"/>
      <c r="P270" s="4"/>
      <c r="Q270" s="4"/>
      <c r="R270" s="5">
        <v>0</v>
      </c>
      <c r="S270">
        <v>0</v>
      </c>
      <c r="T270" t="b">
        <v>1</v>
      </c>
      <c r="U270">
        <v>-1</v>
      </c>
      <c r="V270" s="4">
        <v>5.44</v>
      </c>
    </row>
    <row r="271" spans="1:22" hidden="1" x14ac:dyDescent="0.35">
      <c r="A271" t="s">
        <v>21</v>
      </c>
      <c r="B271">
        <v>3</v>
      </c>
      <c r="C271">
        <v>5</v>
      </c>
      <c r="D271">
        <v>2</v>
      </c>
      <c r="E271" t="s">
        <v>25</v>
      </c>
      <c r="F271">
        <v>50</v>
      </c>
      <c r="G271">
        <v>3</v>
      </c>
      <c r="H271">
        <v>20</v>
      </c>
      <c r="I271" t="s">
        <v>26</v>
      </c>
      <c r="J271" s="3">
        <v>169.497928</v>
      </c>
      <c r="K271" s="3" t="s">
        <v>24</v>
      </c>
      <c r="L271" s="3" t="s">
        <v>24</v>
      </c>
      <c r="M271" s="3" t="s">
        <v>24</v>
      </c>
      <c r="N271" s="3">
        <v>18342.582999999999</v>
      </c>
      <c r="O271" s="4"/>
      <c r="P271" s="4"/>
      <c r="Q271" s="4"/>
      <c r="R271" s="5">
        <v>0</v>
      </c>
      <c r="S271">
        <v>0</v>
      </c>
      <c r="T271" t="b">
        <v>1</v>
      </c>
      <c r="U271">
        <v>-1</v>
      </c>
      <c r="V271" s="4">
        <v>15.26</v>
      </c>
    </row>
    <row r="272" spans="1:22" hidden="1" x14ac:dyDescent="0.35">
      <c r="A272" t="s">
        <v>21</v>
      </c>
      <c r="B272">
        <v>3</v>
      </c>
      <c r="C272">
        <v>5</v>
      </c>
      <c r="D272">
        <v>2</v>
      </c>
      <c r="E272" t="s">
        <v>25</v>
      </c>
      <c r="F272">
        <v>200</v>
      </c>
      <c r="G272">
        <v>1</v>
      </c>
      <c r="H272">
        <v>20</v>
      </c>
      <c r="I272" t="s">
        <v>26</v>
      </c>
      <c r="J272" s="3">
        <v>169.497928</v>
      </c>
      <c r="K272" s="3" t="s">
        <v>24</v>
      </c>
      <c r="L272" s="3" t="s">
        <v>24</v>
      </c>
      <c r="M272" s="3" t="s">
        <v>24</v>
      </c>
      <c r="N272" s="3">
        <v>18342.582999999999</v>
      </c>
      <c r="O272" s="4"/>
      <c r="P272" s="4"/>
      <c r="Q272" s="4"/>
      <c r="R272" s="5">
        <v>0</v>
      </c>
      <c r="S272">
        <v>0</v>
      </c>
      <c r="T272" t="b">
        <v>1</v>
      </c>
      <c r="U272">
        <v>-1</v>
      </c>
      <c r="V272" s="4">
        <v>5.58</v>
      </c>
    </row>
    <row r="273" spans="1:22" hidden="1" x14ac:dyDescent="0.35">
      <c r="A273" t="s">
        <v>21</v>
      </c>
      <c r="B273">
        <v>3</v>
      </c>
      <c r="C273">
        <v>5</v>
      </c>
      <c r="D273">
        <v>2</v>
      </c>
      <c r="E273" t="s">
        <v>25</v>
      </c>
      <c r="F273">
        <v>200</v>
      </c>
      <c r="G273">
        <v>3</v>
      </c>
      <c r="H273">
        <v>20</v>
      </c>
      <c r="I273" t="s">
        <v>26</v>
      </c>
      <c r="J273" s="3">
        <v>169.497928</v>
      </c>
      <c r="K273" s="3" t="s">
        <v>24</v>
      </c>
      <c r="L273" s="3" t="s">
        <v>24</v>
      </c>
      <c r="M273" s="3" t="s">
        <v>24</v>
      </c>
      <c r="N273" s="3">
        <v>18342.582999999999</v>
      </c>
      <c r="O273" s="4"/>
      <c r="P273" s="4"/>
      <c r="Q273" s="4"/>
      <c r="R273" s="5">
        <v>0</v>
      </c>
      <c r="S273">
        <v>0</v>
      </c>
      <c r="T273" t="b">
        <v>1</v>
      </c>
      <c r="U273">
        <v>-1</v>
      </c>
      <c r="V273" s="4">
        <v>15.4</v>
      </c>
    </row>
    <row r="274" spans="1:22" hidden="1" x14ac:dyDescent="0.35">
      <c r="A274" t="s">
        <v>21</v>
      </c>
      <c r="B274">
        <v>3</v>
      </c>
      <c r="C274">
        <v>5</v>
      </c>
      <c r="D274">
        <v>5</v>
      </c>
      <c r="E274" t="s">
        <v>22</v>
      </c>
      <c r="F274">
        <v>50</v>
      </c>
      <c r="G274">
        <v>1</v>
      </c>
      <c r="H274">
        <v>20</v>
      </c>
      <c r="I274" t="s">
        <v>26</v>
      </c>
      <c r="J274" s="3">
        <v>174.77997400000001</v>
      </c>
      <c r="K274" s="3">
        <v>18342.582999999999</v>
      </c>
      <c r="L274" s="3">
        <v>18627.170999999998</v>
      </c>
      <c r="M274" s="3">
        <v>18342.582999999999</v>
      </c>
      <c r="N274" s="3">
        <v>18342.582999999999</v>
      </c>
      <c r="O274" s="4">
        <v>0</v>
      </c>
      <c r="P274" s="4">
        <v>1.5515000000000001</v>
      </c>
      <c r="Q274" s="4">
        <v>0</v>
      </c>
      <c r="R274" s="5">
        <v>8.9999999999999998E-4</v>
      </c>
      <c r="S274">
        <v>6</v>
      </c>
      <c r="T274" t="b">
        <v>0</v>
      </c>
      <c r="U274">
        <v>4</v>
      </c>
      <c r="V274" s="4">
        <v>21.18</v>
      </c>
    </row>
    <row r="275" spans="1:22" hidden="1" x14ac:dyDescent="0.35">
      <c r="A275" t="s">
        <v>21</v>
      </c>
      <c r="B275">
        <v>3</v>
      </c>
      <c r="C275">
        <v>5</v>
      </c>
      <c r="D275">
        <v>5</v>
      </c>
      <c r="E275" t="s">
        <v>22</v>
      </c>
      <c r="F275">
        <v>50</v>
      </c>
      <c r="G275">
        <v>3</v>
      </c>
      <c r="H275">
        <v>20</v>
      </c>
      <c r="I275" t="s">
        <v>26</v>
      </c>
      <c r="J275" s="3">
        <v>124.44188699999999</v>
      </c>
      <c r="K275" s="3">
        <v>18342.582999999999</v>
      </c>
      <c r="L275" s="3">
        <v>19988.973000000002</v>
      </c>
      <c r="M275" s="3">
        <v>18342.582999999999</v>
      </c>
      <c r="N275" s="3">
        <v>18342.582999999999</v>
      </c>
      <c r="O275" s="4">
        <v>0</v>
      </c>
      <c r="P275" s="4">
        <v>8.9757999999999996</v>
      </c>
      <c r="Q275" s="4">
        <v>0</v>
      </c>
      <c r="R275" s="5">
        <v>1.3599999999999999E-2</v>
      </c>
      <c r="S275">
        <v>12</v>
      </c>
      <c r="T275" t="b">
        <v>0</v>
      </c>
      <c r="U275">
        <v>5</v>
      </c>
      <c r="V275" s="4">
        <v>60.93</v>
      </c>
    </row>
    <row r="276" spans="1:22" hidden="1" x14ac:dyDescent="0.35">
      <c r="A276" t="s">
        <v>21</v>
      </c>
      <c r="B276">
        <v>3</v>
      </c>
      <c r="C276">
        <v>5</v>
      </c>
      <c r="D276">
        <v>5</v>
      </c>
      <c r="E276" t="s">
        <v>22</v>
      </c>
      <c r="F276">
        <v>200</v>
      </c>
      <c r="G276">
        <v>1</v>
      </c>
      <c r="H276">
        <v>20</v>
      </c>
      <c r="I276" t="s">
        <v>26</v>
      </c>
      <c r="J276" s="3">
        <v>114.604451</v>
      </c>
      <c r="K276" s="3">
        <v>18342.582999999999</v>
      </c>
      <c r="L276" s="3">
        <v>18342.582999999999</v>
      </c>
      <c r="M276" s="3">
        <v>18342.582999999999</v>
      </c>
      <c r="N276" s="3">
        <v>18342.582999999999</v>
      </c>
      <c r="O276" s="4">
        <v>0</v>
      </c>
      <c r="P276" s="4">
        <v>0</v>
      </c>
      <c r="Q276" s="4">
        <v>0</v>
      </c>
      <c r="R276" s="5">
        <v>3.8999999999999998E-3</v>
      </c>
      <c r="S276">
        <v>12</v>
      </c>
      <c r="T276" t="b">
        <v>0</v>
      </c>
      <c r="U276">
        <v>1</v>
      </c>
      <c r="V276" s="4">
        <v>42.72</v>
      </c>
    </row>
    <row r="277" spans="1:22" hidden="1" x14ac:dyDescent="0.35">
      <c r="A277" t="s">
        <v>21</v>
      </c>
      <c r="B277">
        <v>3</v>
      </c>
      <c r="C277">
        <v>5</v>
      </c>
      <c r="D277">
        <v>5</v>
      </c>
      <c r="E277" t="s">
        <v>22</v>
      </c>
      <c r="F277">
        <v>200</v>
      </c>
      <c r="G277">
        <v>3</v>
      </c>
      <c r="H277">
        <v>20</v>
      </c>
      <c r="I277" t="s">
        <v>26</v>
      </c>
      <c r="J277" s="3">
        <v>114.604451</v>
      </c>
      <c r="K277" s="3">
        <v>18342.582999999999</v>
      </c>
      <c r="L277" s="3">
        <v>18342.582999999999</v>
      </c>
      <c r="M277" s="3">
        <v>18342.582999999999</v>
      </c>
      <c r="N277" s="3">
        <v>18342.582999999999</v>
      </c>
      <c r="O277" s="4">
        <v>0</v>
      </c>
      <c r="P277" s="4">
        <v>0</v>
      </c>
      <c r="Q277" s="4">
        <v>0</v>
      </c>
      <c r="R277" s="5">
        <v>3.8999999999999998E-3</v>
      </c>
      <c r="S277">
        <v>12</v>
      </c>
      <c r="T277" t="b">
        <v>0</v>
      </c>
      <c r="U277">
        <v>1</v>
      </c>
      <c r="V277" s="4">
        <v>114.76</v>
      </c>
    </row>
    <row r="278" spans="1:22" hidden="1" x14ac:dyDescent="0.35">
      <c r="A278" t="s">
        <v>21</v>
      </c>
      <c r="B278">
        <v>3</v>
      </c>
      <c r="C278">
        <v>5</v>
      </c>
      <c r="D278">
        <v>5</v>
      </c>
      <c r="E278" t="s">
        <v>25</v>
      </c>
      <c r="F278">
        <v>50</v>
      </c>
      <c r="G278">
        <v>1</v>
      </c>
      <c r="H278">
        <v>20</v>
      </c>
      <c r="I278" t="s">
        <v>26</v>
      </c>
      <c r="J278" s="3">
        <v>412.345437</v>
      </c>
      <c r="K278" s="3">
        <v>18342.582999999999</v>
      </c>
      <c r="L278" s="3">
        <v>18342.582999999999</v>
      </c>
      <c r="M278" s="3">
        <v>18342.582999999999</v>
      </c>
      <c r="N278" s="3">
        <v>18342.582999999999</v>
      </c>
      <c r="O278" s="4">
        <v>0</v>
      </c>
      <c r="P278" s="4">
        <v>0</v>
      </c>
      <c r="Q278" s="4">
        <v>0</v>
      </c>
      <c r="R278" s="5">
        <v>2.0000000000000001E-4</v>
      </c>
      <c r="S278">
        <v>2</v>
      </c>
      <c r="T278" t="b">
        <v>0</v>
      </c>
      <c r="U278">
        <v>1</v>
      </c>
      <c r="V278" s="4">
        <v>5.79</v>
      </c>
    </row>
    <row r="279" spans="1:22" hidden="1" x14ac:dyDescent="0.35">
      <c r="A279" t="s">
        <v>21</v>
      </c>
      <c r="B279">
        <v>3</v>
      </c>
      <c r="C279">
        <v>5</v>
      </c>
      <c r="D279">
        <v>5</v>
      </c>
      <c r="E279" t="s">
        <v>25</v>
      </c>
      <c r="F279">
        <v>50</v>
      </c>
      <c r="G279">
        <v>3</v>
      </c>
      <c r="H279">
        <v>20</v>
      </c>
      <c r="I279" t="s">
        <v>26</v>
      </c>
      <c r="J279" s="3">
        <v>412.345437</v>
      </c>
      <c r="K279" s="3">
        <v>18342.582999999999</v>
      </c>
      <c r="L279" s="3">
        <v>18342.582999999999</v>
      </c>
      <c r="M279" s="3">
        <v>18342.582999999999</v>
      </c>
      <c r="N279" s="3">
        <v>18342.582999999999</v>
      </c>
      <c r="O279" s="4">
        <v>0</v>
      </c>
      <c r="P279" s="4">
        <v>0</v>
      </c>
      <c r="Q279" s="4">
        <v>0</v>
      </c>
      <c r="R279" s="5">
        <v>2.0000000000000001E-4</v>
      </c>
      <c r="S279">
        <v>2</v>
      </c>
      <c r="T279" t="b">
        <v>0</v>
      </c>
      <c r="U279">
        <v>1</v>
      </c>
      <c r="V279" s="4">
        <v>15.49</v>
      </c>
    </row>
    <row r="280" spans="1:22" hidden="1" x14ac:dyDescent="0.35">
      <c r="A280" t="s">
        <v>21</v>
      </c>
      <c r="B280">
        <v>3</v>
      </c>
      <c r="C280">
        <v>5</v>
      </c>
      <c r="D280">
        <v>5</v>
      </c>
      <c r="E280" t="s">
        <v>25</v>
      </c>
      <c r="F280">
        <v>200</v>
      </c>
      <c r="G280">
        <v>1</v>
      </c>
      <c r="H280">
        <v>20</v>
      </c>
      <c r="I280" t="s">
        <v>26</v>
      </c>
      <c r="J280" s="3">
        <v>412.345437</v>
      </c>
      <c r="K280" s="3">
        <v>18342.582999999999</v>
      </c>
      <c r="L280" s="3">
        <v>18342.582999999999</v>
      </c>
      <c r="M280" s="3">
        <v>18342.582999999999</v>
      </c>
      <c r="N280" s="3">
        <v>18342.582999999999</v>
      </c>
      <c r="O280" s="4">
        <v>0</v>
      </c>
      <c r="P280" s="4">
        <v>0</v>
      </c>
      <c r="Q280" s="4">
        <v>0</v>
      </c>
      <c r="R280" s="5">
        <v>2.0000000000000001E-4</v>
      </c>
      <c r="S280">
        <v>2</v>
      </c>
      <c r="T280" t="b">
        <v>0</v>
      </c>
      <c r="U280">
        <v>1</v>
      </c>
      <c r="V280" s="4">
        <v>5.67</v>
      </c>
    </row>
    <row r="281" spans="1:22" hidden="1" x14ac:dyDescent="0.35">
      <c r="A281" t="s">
        <v>21</v>
      </c>
      <c r="B281">
        <v>3</v>
      </c>
      <c r="C281">
        <v>5</v>
      </c>
      <c r="D281">
        <v>5</v>
      </c>
      <c r="E281" t="s">
        <v>25</v>
      </c>
      <c r="F281">
        <v>200</v>
      </c>
      <c r="G281">
        <v>3</v>
      </c>
      <c r="H281">
        <v>20</v>
      </c>
      <c r="I281" t="s">
        <v>26</v>
      </c>
      <c r="J281" s="3">
        <v>412.345437</v>
      </c>
      <c r="K281" s="3">
        <v>18342.582999999999</v>
      </c>
      <c r="L281" s="3">
        <v>18342.582999999999</v>
      </c>
      <c r="M281" s="3">
        <v>18342.582999999999</v>
      </c>
      <c r="N281" s="3">
        <v>18342.582999999999</v>
      </c>
      <c r="O281" s="4">
        <v>0</v>
      </c>
      <c r="P281" s="4">
        <v>0</v>
      </c>
      <c r="Q281" s="4">
        <v>0</v>
      </c>
      <c r="R281" s="5">
        <v>2.0000000000000001E-4</v>
      </c>
      <c r="S281">
        <v>2</v>
      </c>
      <c r="T281" t="b">
        <v>0</v>
      </c>
      <c r="U281">
        <v>1</v>
      </c>
      <c r="V281" s="4">
        <v>15.31</v>
      </c>
    </row>
    <row r="282" spans="1:22" hidden="1" x14ac:dyDescent="0.35">
      <c r="A282" t="s">
        <v>21</v>
      </c>
      <c r="B282">
        <v>3</v>
      </c>
      <c r="C282">
        <v>5</v>
      </c>
      <c r="D282">
        <v>10</v>
      </c>
      <c r="E282" t="s">
        <v>22</v>
      </c>
      <c r="F282">
        <v>50</v>
      </c>
      <c r="G282">
        <v>1</v>
      </c>
      <c r="H282">
        <v>20</v>
      </c>
      <c r="I282" t="s">
        <v>26</v>
      </c>
      <c r="J282" s="3">
        <v>804.22207600000002</v>
      </c>
      <c r="K282" s="3">
        <v>19988.973000000002</v>
      </c>
      <c r="L282" s="3">
        <v>19988.973000000002</v>
      </c>
      <c r="M282" s="3">
        <v>19988.973000000002</v>
      </c>
      <c r="N282" s="3">
        <v>18342.582999999999</v>
      </c>
      <c r="O282" s="4">
        <v>8.9757999999999996</v>
      </c>
      <c r="P282" s="4">
        <v>8.9757999999999996</v>
      </c>
      <c r="Q282" s="4">
        <v>8.9757999999999996</v>
      </c>
      <c r="R282" s="5">
        <v>1E-4</v>
      </c>
      <c r="S282">
        <v>1</v>
      </c>
      <c r="T282" t="b">
        <v>0</v>
      </c>
      <c r="U282">
        <v>1</v>
      </c>
      <c r="V282" s="4">
        <v>21.65</v>
      </c>
    </row>
    <row r="283" spans="1:22" hidden="1" x14ac:dyDescent="0.35">
      <c r="A283" t="s">
        <v>21</v>
      </c>
      <c r="B283">
        <v>3</v>
      </c>
      <c r="C283">
        <v>5</v>
      </c>
      <c r="D283">
        <v>10</v>
      </c>
      <c r="E283" t="s">
        <v>22</v>
      </c>
      <c r="F283">
        <v>50</v>
      </c>
      <c r="G283">
        <v>3</v>
      </c>
      <c r="H283">
        <v>20</v>
      </c>
      <c r="I283" t="s">
        <v>26</v>
      </c>
      <c r="J283" s="3">
        <v>234.95331400000001</v>
      </c>
      <c r="K283" s="3">
        <v>18342.582999999999</v>
      </c>
      <c r="L283" s="3">
        <v>19988.973000000002</v>
      </c>
      <c r="M283" s="3">
        <v>18342.582999999999</v>
      </c>
      <c r="N283" s="3">
        <v>18342.582999999999</v>
      </c>
      <c r="O283" s="4">
        <v>0</v>
      </c>
      <c r="P283" s="4">
        <v>8.9757999999999996</v>
      </c>
      <c r="Q283" s="4">
        <v>0</v>
      </c>
      <c r="R283" s="5">
        <v>1.4E-2</v>
      </c>
      <c r="S283">
        <v>12</v>
      </c>
      <c r="T283" t="b">
        <v>0</v>
      </c>
      <c r="U283">
        <v>3</v>
      </c>
      <c r="V283" s="4">
        <v>62.78</v>
      </c>
    </row>
    <row r="284" spans="1:22" hidden="1" x14ac:dyDescent="0.35">
      <c r="A284" t="s">
        <v>21</v>
      </c>
      <c r="B284">
        <v>3</v>
      </c>
      <c r="C284">
        <v>5</v>
      </c>
      <c r="D284">
        <v>10</v>
      </c>
      <c r="E284" t="s">
        <v>22</v>
      </c>
      <c r="F284">
        <v>200</v>
      </c>
      <c r="G284">
        <v>1</v>
      </c>
      <c r="H284">
        <v>20</v>
      </c>
      <c r="I284" t="s">
        <v>26</v>
      </c>
      <c r="J284" s="3">
        <v>795.31739000000005</v>
      </c>
      <c r="K284" s="3">
        <v>18342.582999999999</v>
      </c>
      <c r="L284" s="3">
        <v>18342.582999999999</v>
      </c>
      <c r="M284" s="3">
        <v>18342.582999999999</v>
      </c>
      <c r="N284" s="3">
        <v>18342.582999999999</v>
      </c>
      <c r="O284" s="4">
        <v>0</v>
      </c>
      <c r="P284" s="4">
        <v>0</v>
      </c>
      <c r="Q284" s="4">
        <v>0</v>
      </c>
      <c r="R284" s="5">
        <v>2.9999999999999997E-4</v>
      </c>
      <c r="S284">
        <v>2</v>
      </c>
      <c r="T284" t="b">
        <v>0</v>
      </c>
      <c r="U284">
        <v>1</v>
      </c>
      <c r="V284" s="4">
        <v>34.270000000000003</v>
      </c>
    </row>
    <row r="285" spans="1:22" hidden="1" x14ac:dyDescent="0.35">
      <c r="A285" t="s">
        <v>21</v>
      </c>
      <c r="B285">
        <v>3</v>
      </c>
      <c r="C285">
        <v>5</v>
      </c>
      <c r="D285">
        <v>10</v>
      </c>
      <c r="E285" t="s">
        <v>22</v>
      </c>
      <c r="F285">
        <v>200</v>
      </c>
      <c r="G285">
        <v>3</v>
      </c>
      <c r="H285">
        <v>20</v>
      </c>
      <c r="I285" t="s">
        <v>26</v>
      </c>
      <c r="J285" s="3">
        <v>228.95956799999999</v>
      </c>
      <c r="K285" s="3">
        <v>18342.582999999999</v>
      </c>
      <c r="L285" s="3">
        <v>19023.089</v>
      </c>
      <c r="M285" s="3">
        <v>18342.582999999999</v>
      </c>
      <c r="N285" s="3">
        <v>18342.582999999999</v>
      </c>
      <c r="O285" s="4">
        <v>0</v>
      </c>
      <c r="P285" s="4">
        <v>3.71</v>
      </c>
      <c r="Q285" s="4">
        <v>0</v>
      </c>
      <c r="R285" s="5">
        <v>1.3599999999999999E-2</v>
      </c>
      <c r="S285">
        <v>12</v>
      </c>
      <c r="T285" t="b">
        <v>0</v>
      </c>
      <c r="U285">
        <v>3</v>
      </c>
      <c r="V285" s="4">
        <v>99.04</v>
      </c>
    </row>
    <row r="286" spans="1:22" hidden="1" x14ac:dyDescent="0.35">
      <c r="A286" t="s">
        <v>21</v>
      </c>
      <c r="B286">
        <v>3</v>
      </c>
      <c r="C286">
        <v>5</v>
      </c>
      <c r="D286">
        <v>10</v>
      </c>
      <c r="E286" t="s">
        <v>25</v>
      </c>
      <c r="F286">
        <v>50</v>
      </c>
      <c r="G286">
        <v>1</v>
      </c>
      <c r="H286">
        <v>20</v>
      </c>
      <c r="I286" t="s">
        <v>26</v>
      </c>
      <c r="J286" s="3">
        <v>804.22207600000002</v>
      </c>
      <c r="K286" s="3">
        <v>19988.973000000002</v>
      </c>
      <c r="L286" s="3">
        <v>19988.973000000002</v>
      </c>
      <c r="M286" s="3">
        <v>19988.973000000002</v>
      </c>
      <c r="N286" s="3">
        <v>18342.582999999999</v>
      </c>
      <c r="O286" s="4">
        <v>8.9757999999999996</v>
      </c>
      <c r="P286" s="4">
        <v>8.9757999999999996</v>
      </c>
      <c r="Q286" s="4">
        <v>8.9757999999999996</v>
      </c>
      <c r="R286" s="5">
        <v>1E-4</v>
      </c>
      <c r="S286">
        <v>1</v>
      </c>
      <c r="T286" t="b">
        <v>0</v>
      </c>
      <c r="U286">
        <v>1</v>
      </c>
      <c r="V286" s="4">
        <v>5.65</v>
      </c>
    </row>
    <row r="287" spans="1:22" hidden="1" x14ac:dyDescent="0.35">
      <c r="A287" t="s">
        <v>21</v>
      </c>
      <c r="B287">
        <v>3</v>
      </c>
      <c r="C287">
        <v>5</v>
      </c>
      <c r="D287">
        <v>10</v>
      </c>
      <c r="E287" t="s">
        <v>25</v>
      </c>
      <c r="F287">
        <v>50</v>
      </c>
      <c r="G287">
        <v>3</v>
      </c>
      <c r="H287">
        <v>20</v>
      </c>
      <c r="I287" t="s">
        <v>26</v>
      </c>
      <c r="J287" s="3">
        <v>804.22207600000002</v>
      </c>
      <c r="K287" s="3">
        <v>19988.973000000002</v>
      </c>
      <c r="L287" s="3">
        <v>19988.973000000002</v>
      </c>
      <c r="M287" s="3">
        <v>19988.973000000002</v>
      </c>
      <c r="N287" s="3">
        <v>18342.582999999999</v>
      </c>
      <c r="O287" s="4">
        <v>8.9757999999999996</v>
      </c>
      <c r="P287" s="4">
        <v>8.9757999999999996</v>
      </c>
      <c r="Q287" s="4">
        <v>8.9757999999999996</v>
      </c>
      <c r="R287" s="5">
        <v>1E-4</v>
      </c>
      <c r="S287">
        <v>1</v>
      </c>
      <c r="T287" t="b">
        <v>0</v>
      </c>
      <c r="U287">
        <v>1</v>
      </c>
      <c r="V287" s="4">
        <v>15.31</v>
      </c>
    </row>
    <row r="288" spans="1:22" hidden="1" x14ac:dyDescent="0.35">
      <c r="A288" t="s">
        <v>21</v>
      </c>
      <c r="B288">
        <v>3</v>
      </c>
      <c r="C288">
        <v>5</v>
      </c>
      <c r="D288">
        <v>10</v>
      </c>
      <c r="E288" t="s">
        <v>25</v>
      </c>
      <c r="F288">
        <v>200</v>
      </c>
      <c r="G288">
        <v>1</v>
      </c>
      <c r="H288">
        <v>20</v>
      </c>
      <c r="I288" t="s">
        <v>26</v>
      </c>
      <c r="J288" s="3">
        <v>804.22207600000002</v>
      </c>
      <c r="K288" s="3">
        <v>19988.973000000002</v>
      </c>
      <c r="L288" s="3">
        <v>19988.973000000002</v>
      </c>
      <c r="M288" s="3">
        <v>19988.973000000002</v>
      </c>
      <c r="N288" s="3">
        <v>18342.582999999999</v>
      </c>
      <c r="O288" s="4">
        <v>8.9757999999999996</v>
      </c>
      <c r="P288" s="4">
        <v>8.9757999999999996</v>
      </c>
      <c r="Q288" s="4">
        <v>8.9757999999999996</v>
      </c>
      <c r="R288" s="5">
        <v>1E-4</v>
      </c>
      <c r="S288">
        <v>1</v>
      </c>
      <c r="T288" t="b">
        <v>0</v>
      </c>
      <c r="U288">
        <v>1</v>
      </c>
      <c r="V288" s="4">
        <v>5.61</v>
      </c>
    </row>
    <row r="289" spans="1:22" hidden="1" x14ac:dyDescent="0.35">
      <c r="A289" t="s">
        <v>21</v>
      </c>
      <c r="B289">
        <v>3</v>
      </c>
      <c r="C289">
        <v>5</v>
      </c>
      <c r="D289">
        <v>10</v>
      </c>
      <c r="E289" t="s">
        <v>25</v>
      </c>
      <c r="F289">
        <v>200</v>
      </c>
      <c r="G289">
        <v>3</v>
      </c>
      <c r="H289">
        <v>20</v>
      </c>
      <c r="I289" t="s">
        <v>26</v>
      </c>
      <c r="J289" s="3">
        <v>804.22207600000002</v>
      </c>
      <c r="K289" s="3">
        <v>19988.973000000002</v>
      </c>
      <c r="L289" s="3">
        <v>19988.973000000002</v>
      </c>
      <c r="M289" s="3">
        <v>19988.973000000002</v>
      </c>
      <c r="N289" s="3">
        <v>18342.582999999999</v>
      </c>
      <c r="O289" s="4">
        <v>8.9757999999999996</v>
      </c>
      <c r="P289" s="4">
        <v>8.9757999999999996</v>
      </c>
      <c r="Q289" s="4">
        <v>8.9757999999999996</v>
      </c>
      <c r="R289" s="5">
        <v>1E-4</v>
      </c>
      <c r="S289">
        <v>1</v>
      </c>
      <c r="T289" t="b">
        <v>0</v>
      </c>
      <c r="U289">
        <v>1</v>
      </c>
      <c r="V289" s="4">
        <v>15.39</v>
      </c>
    </row>
    <row r="290" spans="1:22" hidden="1" x14ac:dyDescent="0.35">
      <c r="A290" t="s">
        <v>21</v>
      </c>
      <c r="B290">
        <v>4</v>
      </c>
      <c r="C290">
        <v>1</v>
      </c>
      <c r="D290">
        <v>2</v>
      </c>
      <c r="E290" t="s">
        <v>22</v>
      </c>
      <c r="F290">
        <v>50</v>
      </c>
      <c r="G290">
        <v>1</v>
      </c>
      <c r="H290">
        <v>20</v>
      </c>
      <c r="I290" t="s">
        <v>26</v>
      </c>
      <c r="J290" s="3">
        <v>70.739176</v>
      </c>
      <c r="K290" s="3">
        <v>21555.964</v>
      </c>
      <c r="L290" s="3">
        <v>21555.964</v>
      </c>
      <c r="M290" s="3">
        <v>21555.964</v>
      </c>
      <c r="N290" s="3">
        <v>21555.964</v>
      </c>
      <c r="O290" s="4">
        <v>0</v>
      </c>
      <c r="P290" s="4">
        <v>0</v>
      </c>
      <c r="Q290" s="4">
        <v>0</v>
      </c>
      <c r="R290" s="5">
        <v>8.6999999999999994E-3</v>
      </c>
      <c r="S290">
        <v>1</v>
      </c>
      <c r="T290" t="b">
        <v>0</v>
      </c>
      <c r="U290">
        <v>1</v>
      </c>
      <c r="V290" s="4">
        <v>6.38</v>
      </c>
    </row>
    <row r="291" spans="1:22" hidden="1" x14ac:dyDescent="0.35">
      <c r="A291" t="s">
        <v>21</v>
      </c>
      <c r="B291">
        <v>4</v>
      </c>
      <c r="C291">
        <v>1</v>
      </c>
      <c r="D291">
        <v>2</v>
      </c>
      <c r="E291" t="s">
        <v>22</v>
      </c>
      <c r="F291">
        <v>50</v>
      </c>
      <c r="G291">
        <v>3</v>
      </c>
      <c r="H291">
        <v>20</v>
      </c>
      <c r="I291" t="s">
        <v>26</v>
      </c>
      <c r="J291" s="3">
        <v>70.739176</v>
      </c>
      <c r="K291" s="3">
        <v>21555.964</v>
      </c>
      <c r="L291" s="3">
        <v>21555.964</v>
      </c>
      <c r="M291" s="3">
        <v>21555.964</v>
      </c>
      <c r="N291" s="3">
        <v>21555.964</v>
      </c>
      <c r="O291" s="4">
        <v>0</v>
      </c>
      <c r="P291" s="4">
        <v>0</v>
      </c>
      <c r="Q291" s="4">
        <v>0</v>
      </c>
      <c r="R291" s="5">
        <v>8.6999999999999994E-3</v>
      </c>
      <c r="S291">
        <v>1</v>
      </c>
      <c r="T291" t="b">
        <v>0</v>
      </c>
      <c r="U291">
        <v>1</v>
      </c>
      <c r="V291" s="4">
        <v>19.579999999999998</v>
      </c>
    </row>
    <row r="292" spans="1:22" hidden="1" x14ac:dyDescent="0.35">
      <c r="A292" t="s">
        <v>21</v>
      </c>
      <c r="B292">
        <v>4</v>
      </c>
      <c r="C292">
        <v>1</v>
      </c>
      <c r="D292">
        <v>2</v>
      </c>
      <c r="E292" t="s">
        <v>22</v>
      </c>
      <c r="F292">
        <v>200</v>
      </c>
      <c r="G292">
        <v>1</v>
      </c>
      <c r="H292">
        <v>20</v>
      </c>
      <c r="I292" t="s">
        <v>26</v>
      </c>
      <c r="J292" s="3">
        <v>70.739176</v>
      </c>
      <c r="K292" s="3">
        <v>21555.964</v>
      </c>
      <c r="L292" s="3">
        <v>21555.964</v>
      </c>
      <c r="M292" s="3">
        <v>21555.964</v>
      </c>
      <c r="N292" s="3">
        <v>21555.964</v>
      </c>
      <c r="O292" s="4">
        <v>0</v>
      </c>
      <c r="P292" s="4">
        <v>0</v>
      </c>
      <c r="Q292" s="4">
        <v>0</v>
      </c>
      <c r="R292" s="5">
        <v>8.6999999999999994E-3</v>
      </c>
      <c r="S292">
        <v>1</v>
      </c>
      <c r="T292" t="b">
        <v>0</v>
      </c>
      <c r="U292">
        <v>1</v>
      </c>
      <c r="V292" s="4">
        <v>6.32</v>
      </c>
    </row>
    <row r="293" spans="1:22" hidden="1" x14ac:dyDescent="0.35">
      <c r="A293" t="s">
        <v>21</v>
      </c>
      <c r="B293">
        <v>4</v>
      </c>
      <c r="C293">
        <v>1</v>
      </c>
      <c r="D293">
        <v>2</v>
      </c>
      <c r="E293" t="s">
        <v>22</v>
      </c>
      <c r="F293">
        <v>200</v>
      </c>
      <c r="G293">
        <v>3</v>
      </c>
      <c r="H293">
        <v>20</v>
      </c>
      <c r="I293" t="s">
        <v>26</v>
      </c>
      <c r="J293" s="3">
        <v>70.739176</v>
      </c>
      <c r="K293" s="3">
        <v>21555.964</v>
      </c>
      <c r="L293" s="3">
        <v>21555.964</v>
      </c>
      <c r="M293" s="3">
        <v>21555.964</v>
      </c>
      <c r="N293" s="3">
        <v>21555.964</v>
      </c>
      <c r="O293" s="4">
        <v>0</v>
      </c>
      <c r="P293" s="4">
        <v>0</v>
      </c>
      <c r="Q293" s="4">
        <v>0</v>
      </c>
      <c r="R293" s="5">
        <v>8.6999999999999994E-3</v>
      </c>
      <c r="S293">
        <v>1</v>
      </c>
      <c r="T293" t="b">
        <v>0</v>
      </c>
      <c r="U293">
        <v>1</v>
      </c>
      <c r="V293" s="4">
        <v>19.64</v>
      </c>
    </row>
    <row r="294" spans="1:22" hidden="1" x14ac:dyDescent="0.35">
      <c r="A294" t="s">
        <v>21</v>
      </c>
      <c r="B294">
        <v>4</v>
      </c>
      <c r="C294">
        <v>1</v>
      </c>
      <c r="D294">
        <v>2</v>
      </c>
      <c r="E294" t="s">
        <v>25</v>
      </c>
      <c r="F294">
        <v>50</v>
      </c>
      <c r="G294">
        <v>1</v>
      </c>
      <c r="H294">
        <v>20</v>
      </c>
      <c r="I294" t="s">
        <v>26</v>
      </c>
      <c r="J294" s="3">
        <v>235.33335600000001</v>
      </c>
      <c r="K294" s="3" t="s">
        <v>24</v>
      </c>
      <c r="L294" s="3" t="s">
        <v>24</v>
      </c>
      <c r="M294" s="3" t="s">
        <v>24</v>
      </c>
      <c r="N294" s="3">
        <v>21555.964</v>
      </c>
      <c r="O294" s="4"/>
      <c r="P294" s="4"/>
      <c r="Q294" s="4"/>
      <c r="R294" s="5">
        <v>0</v>
      </c>
      <c r="S294">
        <v>0</v>
      </c>
      <c r="T294" t="b">
        <v>1</v>
      </c>
      <c r="U294">
        <v>-1</v>
      </c>
      <c r="V294" s="4">
        <v>1.1499999999999999</v>
      </c>
    </row>
    <row r="295" spans="1:22" hidden="1" x14ac:dyDescent="0.35">
      <c r="A295" t="s">
        <v>21</v>
      </c>
      <c r="B295">
        <v>4</v>
      </c>
      <c r="C295">
        <v>1</v>
      </c>
      <c r="D295">
        <v>2</v>
      </c>
      <c r="E295" t="s">
        <v>25</v>
      </c>
      <c r="F295">
        <v>50</v>
      </c>
      <c r="G295">
        <v>3</v>
      </c>
      <c r="H295">
        <v>20</v>
      </c>
      <c r="I295" t="s">
        <v>26</v>
      </c>
      <c r="J295" s="3">
        <v>214.31887599999999</v>
      </c>
      <c r="K295" s="3" t="s">
        <v>24</v>
      </c>
      <c r="L295" s="3" t="s">
        <v>24</v>
      </c>
      <c r="M295" s="3" t="s">
        <v>24</v>
      </c>
      <c r="N295" s="3">
        <v>21555.964</v>
      </c>
      <c r="O295" s="4"/>
      <c r="P295" s="4"/>
      <c r="Q295" s="4"/>
      <c r="R295" s="5">
        <v>0</v>
      </c>
      <c r="S295">
        <v>0</v>
      </c>
      <c r="T295" t="b">
        <v>1</v>
      </c>
      <c r="U295">
        <v>-1</v>
      </c>
      <c r="V295" s="4">
        <v>2.64</v>
      </c>
    </row>
    <row r="296" spans="1:22" hidden="1" x14ac:dyDescent="0.35">
      <c r="A296" t="s">
        <v>21</v>
      </c>
      <c r="B296">
        <v>4</v>
      </c>
      <c r="C296">
        <v>1</v>
      </c>
      <c r="D296">
        <v>2</v>
      </c>
      <c r="E296" t="s">
        <v>25</v>
      </c>
      <c r="F296">
        <v>200</v>
      </c>
      <c r="G296">
        <v>1</v>
      </c>
      <c r="H296">
        <v>20</v>
      </c>
      <c r="I296" t="s">
        <v>26</v>
      </c>
      <c r="J296" s="3">
        <v>235.33335600000001</v>
      </c>
      <c r="K296" s="3" t="s">
        <v>24</v>
      </c>
      <c r="L296" s="3" t="s">
        <v>24</v>
      </c>
      <c r="M296" s="3" t="s">
        <v>24</v>
      </c>
      <c r="N296" s="3">
        <v>21555.964</v>
      </c>
      <c r="O296" s="4"/>
      <c r="P296" s="4"/>
      <c r="Q296" s="4"/>
      <c r="R296" s="5">
        <v>0</v>
      </c>
      <c r="S296">
        <v>0</v>
      </c>
      <c r="T296" t="b">
        <v>1</v>
      </c>
      <c r="U296">
        <v>-1</v>
      </c>
      <c r="V296" s="4">
        <v>1.1499999999999999</v>
      </c>
    </row>
    <row r="297" spans="1:22" hidden="1" x14ac:dyDescent="0.35">
      <c r="A297" t="s">
        <v>21</v>
      </c>
      <c r="B297">
        <v>4</v>
      </c>
      <c r="C297">
        <v>1</v>
      </c>
      <c r="D297">
        <v>2</v>
      </c>
      <c r="E297" t="s">
        <v>25</v>
      </c>
      <c r="F297">
        <v>200</v>
      </c>
      <c r="G297">
        <v>3</v>
      </c>
      <c r="H297">
        <v>20</v>
      </c>
      <c r="I297" t="s">
        <v>26</v>
      </c>
      <c r="J297" s="3">
        <v>214.31887599999999</v>
      </c>
      <c r="K297" s="3" t="s">
        <v>24</v>
      </c>
      <c r="L297" s="3" t="s">
        <v>24</v>
      </c>
      <c r="M297" s="3" t="s">
        <v>24</v>
      </c>
      <c r="N297" s="3">
        <v>21555.964</v>
      </c>
      <c r="O297" s="4"/>
      <c r="P297" s="4"/>
      <c r="Q297" s="4"/>
      <c r="R297" s="5">
        <v>0</v>
      </c>
      <c r="S297">
        <v>0</v>
      </c>
      <c r="T297" t="b">
        <v>1</v>
      </c>
      <c r="U297">
        <v>-1</v>
      </c>
      <c r="V297" s="4">
        <v>2.63</v>
      </c>
    </row>
    <row r="298" spans="1:22" hidden="1" x14ac:dyDescent="0.35">
      <c r="A298" t="s">
        <v>21</v>
      </c>
      <c r="B298">
        <v>4</v>
      </c>
      <c r="C298">
        <v>1</v>
      </c>
      <c r="D298">
        <v>5</v>
      </c>
      <c r="E298" t="s">
        <v>22</v>
      </c>
      <c r="F298">
        <v>50</v>
      </c>
      <c r="G298">
        <v>1</v>
      </c>
      <c r="H298">
        <v>20</v>
      </c>
      <c r="I298" t="s">
        <v>26</v>
      </c>
      <c r="J298" s="3">
        <v>169.21457000000001</v>
      </c>
      <c r="K298" s="3">
        <v>21555.964</v>
      </c>
      <c r="L298" s="3">
        <v>21555.964</v>
      </c>
      <c r="M298" s="3">
        <v>21555.964</v>
      </c>
      <c r="N298" s="3">
        <v>21555.964</v>
      </c>
      <c r="O298" s="4">
        <v>0</v>
      </c>
      <c r="P298" s="4">
        <v>0</v>
      </c>
      <c r="Q298" s="4">
        <v>0</v>
      </c>
      <c r="R298" s="5">
        <v>4.0000000000000001E-3</v>
      </c>
      <c r="S298">
        <v>1</v>
      </c>
      <c r="T298" t="b">
        <v>0</v>
      </c>
      <c r="U298">
        <v>1</v>
      </c>
      <c r="V298" s="4">
        <v>5.52</v>
      </c>
    </row>
    <row r="299" spans="1:22" hidden="1" x14ac:dyDescent="0.35">
      <c r="A299" t="s">
        <v>21</v>
      </c>
      <c r="B299">
        <v>4</v>
      </c>
      <c r="C299">
        <v>1</v>
      </c>
      <c r="D299">
        <v>5</v>
      </c>
      <c r="E299" t="s">
        <v>22</v>
      </c>
      <c r="F299">
        <v>50</v>
      </c>
      <c r="G299">
        <v>3</v>
      </c>
      <c r="H299">
        <v>20</v>
      </c>
      <c r="I299" t="s">
        <v>26</v>
      </c>
      <c r="J299" s="3">
        <v>167.05487600000001</v>
      </c>
      <c r="K299" s="3">
        <v>21555.964</v>
      </c>
      <c r="L299" s="3">
        <v>21555.964</v>
      </c>
      <c r="M299" s="3">
        <v>21555.964</v>
      </c>
      <c r="N299" s="3">
        <v>21555.964</v>
      </c>
      <c r="O299" s="4">
        <v>0</v>
      </c>
      <c r="P299" s="4">
        <v>0</v>
      </c>
      <c r="Q299" s="4">
        <v>0</v>
      </c>
      <c r="R299" s="5">
        <v>7.0000000000000001E-3</v>
      </c>
      <c r="S299">
        <v>1</v>
      </c>
      <c r="T299" t="b">
        <v>0</v>
      </c>
      <c r="U299">
        <v>1</v>
      </c>
      <c r="V299" s="4">
        <v>19.18</v>
      </c>
    </row>
    <row r="300" spans="1:22" hidden="1" x14ac:dyDescent="0.35">
      <c r="A300" t="s">
        <v>21</v>
      </c>
      <c r="B300">
        <v>4</v>
      </c>
      <c r="C300">
        <v>1</v>
      </c>
      <c r="D300">
        <v>5</v>
      </c>
      <c r="E300" t="s">
        <v>22</v>
      </c>
      <c r="F300">
        <v>200</v>
      </c>
      <c r="G300">
        <v>1</v>
      </c>
      <c r="H300">
        <v>20</v>
      </c>
      <c r="I300" t="s">
        <v>26</v>
      </c>
      <c r="J300" s="3">
        <v>169.21457000000001</v>
      </c>
      <c r="K300" s="3">
        <v>21555.964</v>
      </c>
      <c r="L300" s="3">
        <v>21555.964</v>
      </c>
      <c r="M300" s="3">
        <v>21555.964</v>
      </c>
      <c r="N300" s="3">
        <v>21555.964</v>
      </c>
      <c r="O300" s="4">
        <v>0</v>
      </c>
      <c r="P300" s="4">
        <v>0</v>
      </c>
      <c r="Q300" s="4">
        <v>0</v>
      </c>
      <c r="R300" s="5">
        <v>4.0000000000000001E-3</v>
      </c>
      <c r="S300">
        <v>1</v>
      </c>
      <c r="T300" t="b">
        <v>0</v>
      </c>
      <c r="U300">
        <v>1</v>
      </c>
      <c r="V300" s="4">
        <v>5.49</v>
      </c>
    </row>
    <row r="301" spans="1:22" hidden="1" x14ac:dyDescent="0.35">
      <c r="A301" t="s">
        <v>21</v>
      </c>
      <c r="B301">
        <v>4</v>
      </c>
      <c r="C301">
        <v>1</v>
      </c>
      <c r="D301">
        <v>5</v>
      </c>
      <c r="E301" t="s">
        <v>22</v>
      </c>
      <c r="F301">
        <v>200</v>
      </c>
      <c r="G301">
        <v>3</v>
      </c>
      <c r="H301">
        <v>20</v>
      </c>
      <c r="I301" t="s">
        <v>26</v>
      </c>
      <c r="J301" s="3">
        <v>167.05487600000001</v>
      </c>
      <c r="K301" s="3">
        <v>21555.964</v>
      </c>
      <c r="L301" s="3">
        <v>21555.964</v>
      </c>
      <c r="M301" s="3">
        <v>21555.964</v>
      </c>
      <c r="N301" s="3">
        <v>21555.964</v>
      </c>
      <c r="O301" s="4">
        <v>0</v>
      </c>
      <c r="P301" s="4">
        <v>0</v>
      </c>
      <c r="Q301" s="4">
        <v>0</v>
      </c>
      <c r="R301" s="5">
        <v>7.0000000000000001E-3</v>
      </c>
      <c r="S301">
        <v>1</v>
      </c>
      <c r="T301" t="b">
        <v>0</v>
      </c>
      <c r="U301">
        <v>1</v>
      </c>
      <c r="V301" s="4">
        <v>19.239999999999998</v>
      </c>
    </row>
    <row r="302" spans="1:22" hidden="1" x14ac:dyDescent="0.35">
      <c r="A302" t="s">
        <v>21</v>
      </c>
      <c r="B302">
        <v>4</v>
      </c>
      <c r="C302">
        <v>1</v>
      </c>
      <c r="D302">
        <v>5</v>
      </c>
      <c r="E302" t="s">
        <v>25</v>
      </c>
      <c r="F302">
        <v>50</v>
      </c>
      <c r="G302">
        <v>1</v>
      </c>
      <c r="H302">
        <v>20</v>
      </c>
      <c r="I302" t="s">
        <v>26</v>
      </c>
      <c r="J302" s="3">
        <v>589.65895399999999</v>
      </c>
      <c r="K302" s="3" t="s">
        <v>24</v>
      </c>
      <c r="L302" s="3" t="s">
        <v>24</v>
      </c>
      <c r="M302" s="3" t="s">
        <v>24</v>
      </c>
      <c r="N302" s="3">
        <v>21555.964</v>
      </c>
      <c r="O302" s="4"/>
      <c r="P302" s="4"/>
      <c r="Q302" s="4"/>
      <c r="R302" s="5">
        <v>0</v>
      </c>
      <c r="S302">
        <v>0</v>
      </c>
      <c r="T302" t="b">
        <v>1</v>
      </c>
      <c r="U302">
        <v>-1</v>
      </c>
      <c r="V302" s="4">
        <v>1.18</v>
      </c>
    </row>
    <row r="303" spans="1:22" hidden="1" x14ac:dyDescent="0.35">
      <c r="A303" t="s">
        <v>21</v>
      </c>
      <c r="B303">
        <v>4</v>
      </c>
      <c r="C303">
        <v>1</v>
      </c>
      <c r="D303">
        <v>5</v>
      </c>
      <c r="E303" t="s">
        <v>25</v>
      </c>
      <c r="F303">
        <v>50</v>
      </c>
      <c r="G303">
        <v>3</v>
      </c>
      <c r="H303">
        <v>20</v>
      </c>
      <c r="I303" t="s">
        <v>26</v>
      </c>
      <c r="J303" s="3">
        <v>526.999864</v>
      </c>
      <c r="K303" s="3" t="s">
        <v>24</v>
      </c>
      <c r="L303" s="3" t="s">
        <v>24</v>
      </c>
      <c r="M303" s="3" t="s">
        <v>24</v>
      </c>
      <c r="N303" s="3">
        <v>21555.964</v>
      </c>
      <c r="O303" s="4"/>
      <c r="P303" s="4"/>
      <c r="Q303" s="4"/>
      <c r="R303" s="5">
        <v>0</v>
      </c>
      <c r="S303">
        <v>0</v>
      </c>
      <c r="T303" t="b">
        <v>1</v>
      </c>
      <c r="U303">
        <v>-1</v>
      </c>
      <c r="V303" s="4">
        <v>2.61</v>
      </c>
    </row>
    <row r="304" spans="1:22" hidden="1" x14ac:dyDescent="0.35">
      <c r="A304" t="s">
        <v>21</v>
      </c>
      <c r="B304">
        <v>4</v>
      </c>
      <c r="C304">
        <v>1</v>
      </c>
      <c r="D304">
        <v>5</v>
      </c>
      <c r="E304" t="s">
        <v>25</v>
      </c>
      <c r="F304">
        <v>200</v>
      </c>
      <c r="G304">
        <v>1</v>
      </c>
      <c r="H304">
        <v>20</v>
      </c>
      <c r="I304" t="s">
        <v>26</v>
      </c>
      <c r="J304" s="3">
        <v>589.65895399999999</v>
      </c>
      <c r="K304" s="3" t="s">
        <v>24</v>
      </c>
      <c r="L304" s="3" t="s">
        <v>24</v>
      </c>
      <c r="M304" s="3" t="s">
        <v>24</v>
      </c>
      <c r="N304" s="3">
        <v>21555.964</v>
      </c>
      <c r="O304" s="4"/>
      <c r="P304" s="4"/>
      <c r="Q304" s="4"/>
      <c r="R304" s="5">
        <v>0</v>
      </c>
      <c r="S304">
        <v>0</v>
      </c>
      <c r="T304" t="b">
        <v>1</v>
      </c>
      <c r="U304">
        <v>-1</v>
      </c>
      <c r="V304" s="4">
        <v>1.2</v>
      </c>
    </row>
    <row r="305" spans="1:22" hidden="1" x14ac:dyDescent="0.35">
      <c r="A305" t="s">
        <v>21</v>
      </c>
      <c r="B305">
        <v>4</v>
      </c>
      <c r="C305">
        <v>1</v>
      </c>
      <c r="D305">
        <v>5</v>
      </c>
      <c r="E305" t="s">
        <v>25</v>
      </c>
      <c r="F305">
        <v>200</v>
      </c>
      <c r="G305">
        <v>3</v>
      </c>
      <c r="H305">
        <v>20</v>
      </c>
      <c r="I305" t="s">
        <v>26</v>
      </c>
      <c r="J305" s="3">
        <v>526.999864</v>
      </c>
      <c r="K305" s="3" t="s">
        <v>24</v>
      </c>
      <c r="L305" s="3" t="s">
        <v>24</v>
      </c>
      <c r="M305" s="3" t="s">
        <v>24</v>
      </c>
      <c r="N305" s="3">
        <v>21555.964</v>
      </c>
      <c r="O305" s="4"/>
      <c r="P305" s="4"/>
      <c r="Q305" s="4"/>
      <c r="R305" s="5">
        <v>0</v>
      </c>
      <c r="S305">
        <v>0</v>
      </c>
      <c r="T305" t="b">
        <v>1</v>
      </c>
      <c r="U305">
        <v>-1</v>
      </c>
      <c r="V305" s="4">
        <v>2.69</v>
      </c>
    </row>
    <row r="306" spans="1:22" hidden="1" x14ac:dyDescent="0.35">
      <c r="A306" t="s">
        <v>21</v>
      </c>
      <c r="B306">
        <v>4</v>
      </c>
      <c r="C306">
        <v>1</v>
      </c>
      <c r="D306">
        <v>10</v>
      </c>
      <c r="E306" t="s">
        <v>22</v>
      </c>
      <c r="F306">
        <v>50</v>
      </c>
      <c r="G306">
        <v>1</v>
      </c>
      <c r="H306">
        <v>20</v>
      </c>
      <c r="I306" t="s">
        <v>26</v>
      </c>
      <c r="J306" s="3">
        <v>333.72825399999999</v>
      </c>
      <c r="K306" s="3">
        <v>21555.964</v>
      </c>
      <c r="L306" s="3">
        <v>21555.964</v>
      </c>
      <c r="M306" s="3">
        <v>21555.964</v>
      </c>
      <c r="N306" s="3">
        <v>21555.964</v>
      </c>
      <c r="O306" s="4">
        <v>0</v>
      </c>
      <c r="P306" s="4">
        <v>0</v>
      </c>
      <c r="Q306" s="4">
        <v>0</v>
      </c>
      <c r="R306" s="5">
        <v>9.2999999999999992E-3</v>
      </c>
      <c r="S306">
        <v>1</v>
      </c>
      <c r="T306" t="b">
        <v>0</v>
      </c>
      <c r="U306">
        <v>1</v>
      </c>
      <c r="V306" s="4">
        <v>6.1</v>
      </c>
    </row>
    <row r="307" spans="1:22" hidden="1" x14ac:dyDescent="0.35">
      <c r="A307" t="s">
        <v>21</v>
      </c>
      <c r="B307">
        <v>4</v>
      </c>
      <c r="C307">
        <v>1</v>
      </c>
      <c r="D307">
        <v>10</v>
      </c>
      <c r="E307" t="s">
        <v>22</v>
      </c>
      <c r="F307">
        <v>50</v>
      </c>
      <c r="G307">
        <v>3</v>
      </c>
      <c r="H307">
        <v>20</v>
      </c>
      <c r="I307" t="s">
        <v>26</v>
      </c>
      <c r="J307" s="3">
        <v>331.02668699999998</v>
      </c>
      <c r="K307" s="3">
        <v>21555.964</v>
      </c>
      <c r="L307" s="3">
        <v>21555.964</v>
      </c>
      <c r="M307" s="3">
        <v>21555.964</v>
      </c>
      <c r="N307" s="3">
        <v>21555.964</v>
      </c>
      <c r="O307" s="4">
        <v>0</v>
      </c>
      <c r="P307" s="4">
        <v>0</v>
      </c>
      <c r="Q307" s="4">
        <v>0</v>
      </c>
      <c r="R307" s="5">
        <v>4.7999999999999996E-3</v>
      </c>
      <c r="S307">
        <v>1</v>
      </c>
      <c r="T307" t="b">
        <v>0</v>
      </c>
      <c r="U307">
        <v>1</v>
      </c>
      <c r="V307" s="4">
        <v>18.75</v>
      </c>
    </row>
    <row r="308" spans="1:22" hidden="1" x14ac:dyDescent="0.35">
      <c r="A308" t="s">
        <v>21</v>
      </c>
      <c r="B308">
        <v>4</v>
      </c>
      <c r="C308">
        <v>1</v>
      </c>
      <c r="D308">
        <v>10</v>
      </c>
      <c r="E308" t="s">
        <v>22</v>
      </c>
      <c r="F308">
        <v>200</v>
      </c>
      <c r="G308">
        <v>1</v>
      </c>
      <c r="H308">
        <v>20</v>
      </c>
      <c r="I308" t="s">
        <v>26</v>
      </c>
      <c r="J308" s="3">
        <v>333.72825399999999</v>
      </c>
      <c r="K308" s="3">
        <v>21555.964</v>
      </c>
      <c r="L308" s="3">
        <v>21555.964</v>
      </c>
      <c r="M308" s="3">
        <v>21555.964</v>
      </c>
      <c r="N308" s="3">
        <v>21555.964</v>
      </c>
      <c r="O308" s="4">
        <v>0</v>
      </c>
      <c r="P308" s="4">
        <v>0</v>
      </c>
      <c r="Q308" s="4">
        <v>0</v>
      </c>
      <c r="R308" s="5">
        <v>9.2999999999999992E-3</v>
      </c>
      <c r="S308">
        <v>1</v>
      </c>
      <c r="T308" t="b">
        <v>0</v>
      </c>
      <c r="U308">
        <v>1</v>
      </c>
      <c r="V308" s="4">
        <v>6.01</v>
      </c>
    </row>
    <row r="309" spans="1:22" hidden="1" x14ac:dyDescent="0.35">
      <c r="A309" t="s">
        <v>21</v>
      </c>
      <c r="B309">
        <v>4</v>
      </c>
      <c r="C309">
        <v>1</v>
      </c>
      <c r="D309">
        <v>10</v>
      </c>
      <c r="E309" t="s">
        <v>22</v>
      </c>
      <c r="F309">
        <v>200</v>
      </c>
      <c r="G309">
        <v>3</v>
      </c>
      <c r="H309">
        <v>20</v>
      </c>
      <c r="I309" t="s">
        <v>26</v>
      </c>
      <c r="J309" s="3">
        <v>331.02668699999998</v>
      </c>
      <c r="K309" s="3">
        <v>21555.964</v>
      </c>
      <c r="L309" s="3">
        <v>21555.964</v>
      </c>
      <c r="M309" s="3">
        <v>21555.964</v>
      </c>
      <c r="N309" s="3">
        <v>21555.964</v>
      </c>
      <c r="O309" s="4">
        <v>0</v>
      </c>
      <c r="P309" s="4">
        <v>0</v>
      </c>
      <c r="Q309" s="4">
        <v>0</v>
      </c>
      <c r="R309" s="5">
        <v>4.7999999999999996E-3</v>
      </c>
      <c r="S309">
        <v>1</v>
      </c>
      <c r="T309" t="b">
        <v>0</v>
      </c>
      <c r="U309">
        <v>1</v>
      </c>
      <c r="V309" s="4">
        <v>18.75</v>
      </c>
    </row>
    <row r="310" spans="1:22" hidden="1" x14ac:dyDescent="0.35">
      <c r="A310" t="s">
        <v>21</v>
      </c>
      <c r="B310">
        <v>4</v>
      </c>
      <c r="C310">
        <v>1</v>
      </c>
      <c r="D310">
        <v>10</v>
      </c>
      <c r="E310" t="s">
        <v>25</v>
      </c>
      <c r="F310">
        <v>50</v>
      </c>
      <c r="G310">
        <v>1</v>
      </c>
      <c r="H310">
        <v>20</v>
      </c>
      <c r="I310" t="s">
        <v>26</v>
      </c>
      <c r="J310" s="3">
        <v>1173.4076030000001</v>
      </c>
      <c r="K310" s="3" t="s">
        <v>24</v>
      </c>
      <c r="L310" s="3" t="s">
        <v>24</v>
      </c>
      <c r="M310" s="3" t="s">
        <v>24</v>
      </c>
      <c r="N310" s="3">
        <v>21555.964</v>
      </c>
      <c r="O310" s="4"/>
      <c r="P310" s="4"/>
      <c r="Q310" s="4"/>
      <c r="R310" s="5">
        <v>0</v>
      </c>
      <c r="S310">
        <v>0</v>
      </c>
      <c r="T310" t="b">
        <v>1</v>
      </c>
      <c r="U310">
        <v>-1</v>
      </c>
      <c r="V310" s="4">
        <v>1.17</v>
      </c>
    </row>
    <row r="311" spans="1:22" hidden="1" x14ac:dyDescent="0.35">
      <c r="A311" t="s">
        <v>21</v>
      </c>
      <c r="B311">
        <v>4</v>
      </c>
      <c r="C311">
        <v>1</v>
      </c>
      <c r="D311">
        <v>10</v>
      </c>
      <c r="E311" t="s">
        <v>25</v>
      </c>
      <c r="F311">
        <v>50</v>
      </c>
      <c r="G311">
        <v>3</v>
      </c>
      <c r="H311">
        <v>20</v>
      </c>
      <c r="I311" t="s">
        <v>26</v>
      </c>
      <c r="J311" s="3">
        <v>1032.0592469999999</v>
      </c>
      <c r="K311" s="3" t="s">
        <v>24</v>
      </c>
      <c r="L311" s="3" t="s">
        <v>24</v>
      </c>
      <c r="M311" s="3" t="s">
        <v>24</v>
      </c>
      <c r="N311" s="3">
        <v>21555.964</v>
      </c>
      <c r="O311" s="4"/>
      <c r="P311" s="4"/>
      <c r="Q311" s="4"/>
      <c r="R311" s="5">
        <v>0</v>
      </c>
      <c r="S311">
        <v>0</v>
      </c>
      <c r="T311" t="b">
        <v>1</v>
      </c>
      <c r="U311">
        <v>-1</v>
      </c>
      <c r="V311" s="4">
        <v>2.65</v>
      </c>
    </row>
    <row r="312" spans="1:22" hidden="1" x14ac:dyDescent="0.35">
      <c r="A312" t="s">
        <v>21</v>
      </c>
      <c r="B312">
        <v>4</v>
      </c>
      <c r="C312">
        <v>1</v>
      </c>
      <c r="D312">
        <v>10</v>
      </c>
      <c r="E312" t="s">
        <v>25</v>
      </c>
      <c r="F312">
        <v>200</v>
      </c>
      <c r="G312">
        <v>1</v>
      </c>
      <c r="H312">
        <v>20</v>
      </c>
      <c r="I312" t="s">
        <v>26</v>
      </c>
      <c r="J312" s="3">
        <v>1173.4076030000001</v>
      </c>
      <c r="K312" s="3" t="s">
        <v>24</v>
      </c>
      <c r="L312" s="3" t="s">
        <v>24</v>
      </c>
      <c r="M312" s="3" t="s">
        <v>24</v>
      </c>
      <c r="N312" s="3">
        <v>21555.964</v>
      </c>
      <c r="O312" s="4"/>
      <c r="P312" s="4"/>
      <c r="Q312" s="4"/>
      <c r="R312" s="5">
        <v>0</v>
      </c>
      <c r="S312">
        <v>0</v>
      </c>
      <c r="T312" t="b">
        <v>1</v>
      </c>
      <c r="U312">
        <v>-1</v>
      </c>
      <c r="V312" s="4">
        <v>1.1200000000000001</v>
      </c>
    </row>
    <row r="313" spans="1:22" hidden="1" x14ac:dyDescent="0.35">
      <c r="A313" t="s">
        <v>21</v>
      </c>
      <c r="B313">
        <v>4</v>
      </c>
      <c r="C313">
        <v>1</v>
      </c>
      <c r="D313">
        <v>10</v>
      </c>
      <c r="E313" t="s">
        <v>25</v>
      </c>
      <c r="F313">
        <v>200</v>
      </c>
      <c r="G313">
        <v>3</v>
      </c>
      <c r="H313">
        <v>20</v>
      </c>
      <c r="I313" t="s">
        <v>26</v>
      </c>
      <c r="J313" s="3">
        <v>1032.0592469999999</v>
      </c>
      <c r="K313" s="3" t="s">
        <v>24</v>
      </c>
      <c r="L313" s="3" t="s">
        <v>24</v>
      </c>
      <c r="M313" s="3" t="s">
        <v>24</v>
      </c>
      <c r="N313" s="3">
        <v>21555.964</v>
      </c>
      <c r="O313" s="4"/>
      <c r="P313" s="4"/>
      <c r="Q313" s="4"/>
      <c r="R313" s="5">
        <v>0</v>
      </c>
      <c r="S313">
        <v>0</v>
      </c>
      <c r="T313" t="b">
        <v>1</v>
      </c>
      <c r="U313">
        <v>-1</v>
      </c>
      <c r="V313" s="4">
        <v>2.67</v>
      </c>
    </row>
    <row r="314" spans="1:22" hidden="1" x14ac:dyDescent="0.35">
      <c r="A314" t="s">
        <v>21</v>
      </c>
      <c r="B314">
        <v>4</v>
      </c>
      <c r="C314">
        <v>2</v>
      </c>
      <c r="D314">
        <v>2</v>
      </c>
      <c r="E314" t="s">
        <v>22</v>
      </c>
      <c r="F314">
        <v>50</v>
      </c>
      <c r="G314">
        <v>1</v>
      </c>
      <c r="H314">
        <v>20</v>
      </c>
      <c r="I314" t="s">
        <v>26</v>
      </c>
      <c r="J314" s="3">
        <v>89.008660000000006</v>
      </c>
      <c r="K314" s="3">
        <v>21555.964</v>
      </c>
      <c r="L314" s="3">
        <v>21555.964</v>
      </c>
      <c r="M314" s="3">
        <v>21555.964</v>
      </c>
      <c r="N314" s="3">
        <v>21555.964</v>
      </c>
      <c r="O314" s="4">
        <v>0</v>
      </c>
      <c r="P314" s="4">
        <v>0</v>
      </c>
      <c r="Q314" s="4">
        <v>0</v>
      </c>
      <c r="R314" s="5">
        <v>6.9999999999999999E-4</v>
      </c>
      <c r="S314">
        <v>1</v>
      </c>
      <c r="T314" t="b">
        <v>0</v>
      </c>
      <c r="U314">
        <v>1</v>
      </c>
      <c r="V314" s="4">
        <v>9.23</v>
      </c>
    </row>
    <row r="315" spans="1:22" hidden="1" x14ac:dyDescent="0.35">
      <c r="A315" t="s">
        <v>21</v>
      </c>
      <c r="B315">
        <v>4</v>
      </c>
      <c r="C315">
        <v>2</v>
      </c>
      <c r="D315">
        <v>2</v>
      </c>
      <c r="E315" t="s">
        <v>22</v>
      </c>
      <c r="F315">
        <v>50</v>
      </c>
      <c r="G315">
        <v>3</v>
      </c>
      <c r="H315">
        <v>20</v>
      </c>
      <c r="I315" t="s">
        <v>26</v>
      </c>
      <c r="J315" s="3">
        <v>71.142002000000005</v>
      </c>
      <c r="K315" s="3">
        <v>21555.964</v>
      </c>
      <c r="L315" s="3">
        <v>21555.964</v>
      </c>
      <c r="M315" s="3">
        <v>21555.964</v>
      </c>
      <c r="N315" s="3">
        <v>21555.964</v>
      </c>
      <c r="O315" s="4">
        <v>0</v>
      </c>
      <c r="P315" s="4">
        <v>0</v>
      </c>
      <c r="Q315" s="4">
        <v>0</v>
      </c>
      <c r="R315" s="5">
        <v>7.3000000000000001E-3</v>
      </c>
      <c r="S315">
        <v>1</v>
      </c>
      <c r="T315" t="b">
        <v>0</v>
      </c>
      <c r="U315">
        <v>1</v>
      </c>
      <c r="V315" s="4">
        <v>28.96</v>
      </c>
    </row>
    <row r="316" spans="1:22" hidden="1" x14ac:dyDescent="0.35">
      <c r="A316" t="s">
        <v>21</v>
      </c>
      <c r="B316">
        <v>4</v>
      </c>
      <c r="C316">
        <v>2</v>
      </c>
      <c r="D316">
        <v>2</v>
      </c>
      <c r="E316" t="s">
        <v>22</v>
      </c>
      <c r="F316">
        <v>200</v>
      </c>
      <c r="G316">
        <v>1</v>
      </c>
      <c r="H316">
        <v>20</v>
      </c>
      <c r="I316" t="s">
        <v>26</v>
      </c>
      <c r="J316" s="3">
        <v>89.008660000000006</v>
      </c>
      <c r="K316" s="3">
        <v>21555.964</v>
      </c>
      <c r="L316" s="3">
        <v>21555.964</v>
      </c>
      <c r="M316" s="3">
        <v>21555.964</v>
      </c>
      <c r="N316" s="3">
        <v>21555.964</v>
      </c>
      <c r="O316" s="4">
        <v>0</v>
      </c>
      <c r="P316" s="4">
        <v>0</v>
      </c>
      <c r="Q316" s="4">
        <v>0</v>
      </c>
      <c r="R316" s="5">
        <v>6.9999999999999999E-4</v>
      </c>
      <c r="S316">
        <v>1</v>
      </c>
      <c r="T316" t="b">
        <v>0</v>
      </c>
      <c r="U316">
        <v>1</v>
      </c>
      <c r="V316" s="4">
        <v>9.26</v>
      </c>
    </row>
    <row r="317" spans="1:22" hidden="1" x14ac:dyDescent="0.35">
      <c r="A317" t="s">
        <v>21</v>
      </c>
      <c r="B317">
        <v>4</v>
      </c>
      <c r="C317">
        <v>2</v>
      </c>
      <c r="D317">
        <v>2</v>
      </c>
      <c r="E317" t="s">
        <v>22</v>
      </c>
      <c r="F317">
        <v>200</v>
      </c>
      <c r="G317">
        <v>3</v>
      </c>
      <c r="H317">
        <v>20</v>
      </c>
      <c r="I317" t="s">
        <v>26</v>
      </c>
      <c r="J317" s="3">
        <v>71.142002000000005</v>
      </c>
      <c r="K317" s="3">
        <v>21555.964</v>
      </c>
      <c r="L317" s="3">
        <v>21555.964</v>
      </c>
      <c r="M317" s="3">
        <v>21555.964</v>
      </c>
      <c r="N317" s="3">
        <v>21555.964</v>
      </c>
      <c r="O317" s="4">
        <v>0</v>
      </c>
      <c r="P317" s="4">
        <v>0</v>
      </c>
      <c r="Q317" s="4">
        <v>0</v>
      </c>
      <c r="R317" s="5">
        <v>7.3000000000000001E-3</v>
      </c>
      <c r="S317">
        <v>1</v>
      </c>
      <c r="T317" t="b">
        <v>0</v>
      </c>
      <c r="U317">
        <v>1</v>
      </c>
      <c r="V317" s="4">
        <v>29</v>
      </c>
    </row>
    <row r="318" spans="1:22" hidden="1" x14ac:dyDescent="0.35">
      <c r="A318" t="s">
        <v>21</v>
      </c>
      <c r="B318">
        <v>4</v>
      </c>
      <c r="C318">
        <v>2</v>
      </c>
      <c r="D318">
        <v>2</v>
      </c>
      <c r="E318" t="s">
        <v>25</v>
      </c>
      <c r="F318">
        <v>50</v>
      </c>
      <c r="G318">
        <v>1</v>
      </c>
      <c r="H318">
        <v>20</v>
      </c>
      <c r="I318" t="s">
        <v>26</v>
      </c>
      <c r="J318" s="3">
        <v>217.777715</v>
      </c>
      <c r="K318" s="3" t="s">
        <v>24</v>
      </c>
      <c r="L318" s="3" t="s">
        <v>24</v>
      </c>
      <c r="M318" s="3" t="s">
        <v>24</v>
      </c>
      <c r="N318" s="3">
        <v>21555.964</v>
      </c>
      <c r="O318" s="4"/>
      <c r="P318" s="4"/>
      <c r="Q318" s="4"/>
      <c r="R318" s="5">
        <v>0</v>
      </c>
      <c r="S318">
        <v>0</v>
      </c>
      <c r="T318" t="b">
        <v>1</v>
      </c>
      <c r="U318">
        <v>-1</v>
      </c>
      <c r="V318" s="4">
        <v>1.97</v>
      </c>
    </row>
    <row r="319" spans="1:22" hidden="1" x14ac:dyDescent="0.35">
      <c r="A319" t="s">
        <v>21</v>
      </c>
      <c r="B319">
        <v>4</v>
      </c>
      <c r="C319">
        <v>2</v>
      </c>
      <c r="D319">
        <v>2</v>
      </c>
      <c r="E319" t="s">
        <v>25</v>
      </c>
      <c r="F319">
        <v>50</v>
      </c>
      <c r="G319">
        <v>3</v>
      </c>
      <c r="H319">
        <v>20</v>
      </c>
      <c r="I319" t="s">
        <v>26</v>
      </c>
      <c r="J319" s="3">
        <v>172.08922200000001</v>
      </c>
      <c r="K319" s="3">
        <v>21555.964</v>
      </c>
      <c r="L319" s="3">
        <v>21555.964</v>
      </c>
      <c r="M319" s="3">
        <v>21555.964</v>
      </c>
      <c r="N319" s="3">
        <v>21555.964</v>
      </c>
      <c r="O319" s="4">
        <v>0</v>
      </c>
      <c r="P319" s="4">
        <v>0</v>
      </c>
      <c r="Q319" s="4">
        <v>0</v>
      </c>
      <c r="R319" s="5">
        <v>2.2000000000000001E-3</v>
      </c>
      <c r="S319">
        <v>1</v>
      </c>
      <c r="T319" t="b">
        <v>0</v>
      </c>
      <c r="U319">
        <v>1</v>
      </c>
      <c r="V319" s="4">
        <v>4.8</v>
      </c>
    </row>
    <row r="320" spans="1:22" hidden="1" x14ac:dyDescent="0.35">
      <c r="A320" t="s">
        <v>21</v>
      </c>
      <c r="B320">
        <v>4</v>
      </c>
      <c r="C320">
        <v>2</v>
      </c>
      <c r="D320">
        <v>2</v>
      </c>
      <c r="E320" t="s">
        <v>25</v>
      </c>
      <c r="F320">
        <v>200</v>
      </c>
      <c r="G320">
        <v>1</v>
      </c>
      <c r="H320">
        <v>20</v>
      </c>
      <c r="I320" t="s">
        <v>26</v>
      </c>
      <c r="J320" s="3">
        <v>217.777715</v>
      </c>
      <c r="K320" s="3" t="s">
        <v>24</v>
      </c>
      <c r="L320" s="3" t="s">
        <v>24</v>
      </c>
      <c r="M320" s="3" t="s">
        <v>24</v>
      </c>
      <c r="N320" s="3">
        <v>21555.964</v>
      </c>
      <c r="O320" s="4"/>
      <c r="P320" s="4"/>
      <c r="Q320" s="4"/>
      <c r="R320" s="5">
        <v>0</v>
      </c>
      <c r="S320">
        <v>0</v>
      </c>
      <c r="T320" t="b">
        <v>1</v>
      </c>
      <c r="U320">
        <v>-1</v>
      </c>
      <c r="V320" s="4">
        <v>1.94</v>
      </c>
    </row>
    <row r="321" spans="1:22" hidden="1" x14ac:dyDescent="0.35">
      <c r="A321" t="s">
        <v>21</v>
      </c>
      <c r="B321">
        <v>4</v>
      </c>
      <c r="C321">
        <v>2</v>
      </c>
      <c r="D321">
        <v>2</v>
      </c>
      <c r="E321" t="s">
        <v>25</v>
      </c>
      <c r="F321">
        <v>200</v>
      </c>
      <c r="G321">
        <v>3</v>
      </c>
      <c r="H321">
        <v>20</v>
      </c>
      <c r="I321" t="s">
        <v>26</v>
      </c>
      <c r="J321" s="3">
        <v>172.08922200000001</v>
      </c>
      <c r="K321" s="3">
        <v>21555.964</v>
      </c>
      <c r="L321" s="3">
        <v>21555.964</v>
      </c>
      <c r="M321" s="3">
        <v>21555.964</v>
      </c>
      <c r="N321" s="3">
        <v>21555.964</v>
      </c>
      <c r="O321" s="4">
        <v>0</v>
      </c>
      <c r="P321" s="4">
        <v>0</v>
      </c>
      <c r="Q321" s="4">
        <v>0</v>
      </c>
      <c r="R321" s="5">
        <v>2.2000000000000001E-3</v>
      </c>
      <c r="S321">
        <v>1</v>
      </c>
      <c r="T321" t="b">
        <v>0</v>
      </c>
      <c r="U321">
        <v>1</v>
      </c>
      <c r="V321" s="4">
        <v>4.91</v>
      </c>
    </row>
    <row r="322" spans="1:22" hidden="1" x14ac:dyDescent="0.35">
      <c r="A322" t="s">
        <v>21</v>
      </c>
      <c r="B322">
        <v>4</v>
      </c>
      <c r="C322">
        <v>2</v>
      </c>
      <c r="D322">
        <v>5</v>
      </c>
      <c r="E322" t="s">
        <v>22</v>
      </c>
      <c r="F322">
        <v>50</v>
      </c>
      <c r="G322">
        <v>1</v>
      </c>
      <c r="H322">
        <v>20</v>
      </c>
      <c r="I322" t="s">
        <v>26</v>
      </c>
      <c r="J322" s="3">
        <v>185.389726</v>
      </c>
      <c r="K322" s="3">
        <v>21555.964</v>
      </c>
      <c r="L322" s="3">
        <v>21555.964</v>
      </c>
      <c r="M322" s="3">
        <v>21555.964</v>
      </c>
      <c r="N322" s="3">
        <v>21555.964</v>
      </c>
      <c r="O322" s="4">
        <v>0</v>
      </c>
      <c r="P322" s="4">
        <v>0</v>
      </c>
      <c r="Q322" s="4">
        <v>0</v>
      </c>
      <c r="R322" s="5">
        <v>2.0999999999999999E-3</v>
      </c>
      <c r="S322">
        <v>1</v>
      </c>
      <c r="T322" t="b">
        <v>0</v>
      </c>
      <c r="U322">
        <v>1</v>
      </c>
      <c r="V322" s="4">
        <v>10.32</v>
      </c>
    </row>
    <row r="323" spans="1:22" hidden="1" x14ac:dyDescent="0.35">
      <c r="A323" t="s">
        <v>21</v>
      </c>
      <c r="B323">
        <v>4</v>
      </c>
      <c r="C323">
        <v>2</v>
      </c>
      <c r="D323">
        <v>5</v>
      </c>
      <c r="E323" t="s">
        <v>22</v>
      </c>
      <c r="F323">
        <v>50</v>
      </c>
      <c r="G323">
        <v>3</v>
      </c>
      <c r="H323">
        <v>20</v>
      </c>
      <c r="I323" t="s">
        <v>26</v>
      </c>
      <c r="J323" s="3">
        <v>172.72351</v>
      </c>
      <c r="K323" s="3">
        <v>21555.964</v>
      </c>
      <c r="L323" s="3">
        <v>21555.964</v>
      </c>
      <c r="M323" s="3">
        <v>21555.964</v>
      </c>
      <c r="N323" s="3">
        <v>21555.964</v>
      </c>
      <c r="O323" s="4">
        <v>0</v>
      </c>
      <c r="P323" s="4">
        <v>0</v>
      </c>
      <c r="Q323" s="4">
        <v>0</v>
      </c>
      <c r="R323" s="5">
        <v>7.7000000000000002E-3</v>
      </c>
      <c r="S323">
        <v>1</v>
      </c>
      <c r="T323" t="b">
        <v>0</v>
      </c>
      <c r="U323">
        <v>1</v>
      </c>
      <c r="V323" s="4">
        <v>29.06</v>
      </c>
    </row>
    <row r="324" spans="1:22" hidden="1" x14ac:dyDescent="0.35">
      <c r="A324" t="s">
        <v>21</v>
      </c>
      <c r="B324">
        <v>4</v>
      </c>
      <c r="C324">
        <v>2</v>
      </c>
      <c r="D324">
        <v>5</v>
      </c>
      <c r="E324" t="s">
        <v>22</v>
      </c>
      <c r="F324">
        <v>200</v>
      </c>
      <c r="G324">
        <v>1</v>
      </c>
      <c r="H324">
        <v>20</v>
      </c>
      <c r="I324" t="s">
        <v>26</v>
      </c>
      <c r="J324" s="3">
        <v>185.389726</v>
      </c>
      <c r="K324" s="3">
        <v>21555.964</v>
      </c>
      <c r="L324" s="3">
        <v>21555.964</v>
      </c>
      <c r="M324" s="3">
        <v>21555.964</v>
      </c>
      <c r="N324" s="3">
        <v>21555.964</v>
      </c>
      <c r="O324" s="4">
        <v>0</v>
      </c>
      <c r="P324" s="4">
        <v>0</v>
      </c>
      <c r="Q324" s="4">
        <v>0</v>
      </c>
      <c r="R324" s="5">
        <v>2.0999999999999999E-3</v>
      </c>
      <c r="S324">
        <v>1</v>
      </c>
      <c r="T324" t="b">
        <v>0</v>
      </c>
      <c r="U324">
        <v>1</v>
      </c>
      <c r="V324" s="4">
        <v>10.36</v>
      </c>
    </row>
    <row r="325" spans="1:22" hidden="1" x14ac:dyDescent="0.35">
      <c r="A325" t="s">
        <v>21</v>
      </c>
      <c r="B325">
        <v>4</v>
      </c>
      <c r="C325">
        <v>2</v>
      </c>
      <c r="D325">
        <v>5</v>
      </c>
      <c r="E325" t="s">
        <v>22</v>
      </c>
      <c r="F325">
        <v>200</v>
      </c>
      <c r="G325">
        <v>3</v>
      </c>
      <c r="H325">
        <v>20</v>
      </c>
      <c r="I325" t="s">
        <v>26</v>
      </c>
      <c r="J325" s="3">
        <v>172.72351</v>
      </c>
      <c r="K325" s="3">
        <v>21555.964</v>
      </c>
      <c r="L325" s="3">
        <v>21555.964</v>
      </c>
      <c r="M325" s="3">
        <v>21555.964</v>
      </c>
      <c r="N325" s="3">
        <v>21555.964</v>
      </c>
      <c r="O325" s="4">
        <v>0</v>
      </c>
      <c r="P325" s="4">
        <v>0</v>
      </c>
      <c r="Q325" s="4">
        <v>0</v>
      </c>
      <c r="R325" s="5">
        <v>7.7000000000000002E-3</v>
      </c>
      <c r="S325">
        <v>1</v>
      </c>
      <c r="T325" t="b">
        <v>0</v>
      </c>
      <c r="U325">
        <v>1</v>
      </c>
      <c r="V325" s="4">
        <v>28.93</v>
      </c>
    </row>
    <row r="326" spans="1:22" hidden="1" x14ac:dyDescent="0.35">
      <c r="A326" t="s">
        <v>21</v>
      </c>
      <c r="B326">
        <v>4</v>
      </c>
      <c r="C326">
        <v>2</v>
      </c>
      <c r="D326">
        <v>5</v>
      </c>
      <c r="E326" t="s">
        <v>25</v>
      </c>
      <c r="F326">
        <v>50</v>
      </c>
      <c r="G326">
        <v>1</v>
      </c>
      <c r="H326">
        <v>20</v>
      </c>
      <c r="I326" t="s">
        <v>26</v>
      </c>
      <c r="J326" s="3">
        <v>528.123693</v>
      </c>
      <c r="K326" s="3" t="s">
        <v>24</v>
      </c>
      <c r="L326" s="3" t="s">
        <v>24</v>
      </c>
      <c r="M326" s="3" t="s">
        <v>24</v>
      </c>
      <c r="N326" s="3">
        <v>21555.964</v>
      </c>
      <c r="O326" s="4"/>
      <c r="P326" s="4"/>
      <c r="Q326" s="4"/>
      <c r="R326" s="5">
        <v>0</v>
      </c>
      <c r="S326">
        <v>0</v>
      </c>
      <c r="T326" t="b">
        <v>1</v>
      </c>
      <c r="U326">
        <v>-1</v>
      </c>
      <c r="V326" s="4">
        <v>1.98</v>
      </c>
    </row>
    <row r="327" spans="1:22" hidden="1" x14ac:dyDescent="0.35">
      <c r="A327" t="s">
        <v>21</v>
      </c>
      <c r="B327">
        <v>4</v>
      </c>
      <c r="C327">
        <v>2</v>
      </c>
      <c r="D327">
        <v>5</v>
      </c>
      <c r="E327" t="s">
        <v>25</v>
      </c>
      <c r="F327">
        <v>50</v>
      </c>
      <c r="G327">
        <v>3</v>
      </c>
      <c r="H327">
        <v>20</v>
      </c>
      <c r="I327" t="s">
        <v>26</v>
      </c>
      <c r="J327" s="3">
        <v>392.50295499999999</v>
      </c>
      <c r="K327" s="3">
        <v>21555.964</v>
      </c>
      <c r="L327" s="3">
        <v>21555.964</v>
      </c>
      <c r="M327" s="3">
        <v>21555.964</v>
      </c>
      <c r="N327" s="3">
        <v>21555.964</v>
      </c>
      <c r="O327" s="4">
        <v>0</v>
      </c>
      <c r="P327" s="4">
        <v>0</v>
      </c>
      <c r="Q327" s="4">
        <v>0</v>
      </c>
      <c r="R327" s="5">
        <v>5.5999999999999999E-3</v>
      </c>
      <c r="S327">
        <v>1</v>
      </c>
      <c r="T327" t="b">
        <v>0</v>
      </c>
      <c r="U327">
        <v>1</v>
      </c>
      <c r="V327" s="4">
        <v>63.01</v>
      </c>
    </row>
    <row r="328" spans="1:22" hidden="1" x14ac:dyDescent="0.35">
      <c r="A328" t="s">
        <v>21</v>
      </c>
      <c r="B328">
        <v>4</v>
      </c>
      <c r="C328">
        <v>2</v>
      </c>
      <c r="D328">
        <v>5</v>
      </c>
      <c r="E328" t="s">
        <v>25</v>
      </c>
      <c r="F328">
        <v>200</v>
      </c>
      <c r="G328">
        <v>1</v>
      </c>
      <c r="H328">
        <v>20</v>
      </c>
      <c r="I328" t="s">
        <v>26</v>
      </c>
      <c r="J328" s="3">
        <v>528.123693</v>
      </c>
      <c r="K328" s="3" t="s">
        <v>24</v>
      </c>
      <c r="L328" s="3" t="s">
        <v>24</v>
      </c>
      <c r="M328" s="3" t="s">
        <v>24</v>
      </c>
      <c r="N328" s="3">
        <v>21555.964</v>
      </c>
      <c r="O328" s="4"/>
      <c r="P328" s="4"/>
      <c r="Q328" s="4"/>
      <c r="R328" s="5">
        <v>0</v>
      </c>
      <c r="S328">
        <v>0</v>
      </c>
      <c r="T328" t="b">
        <v>1</v>
      </c>
      <c r="U328">
        <v>-1</v>
      </c>
      <c r="V328" s="4">
        <v>1.89</v>
      </c>
    </row>
    <row r="329" spans="1:22" hidden="1" x14ac:dyDescent="0.35">
      <c r="A329" t="s">
        <v>21</v>
      </c>
      <c r="B329">
        <v>4</v>
      </c>
      <c r="C329">
        <v>2</v>
      </c>
      <c r="D329">
        <v>5</v>
      </c>
      <c r="E329" t="s">
        <v>25</v>
      </c>
      <c r="F329">
        <v>200</v>
      </c>
      <c r="G329">
        <v>3</v>
      </c>
      <c r="H329">
        <v>20</v>
      </c>
      <c r="I329" t="s">
        <v>26</v>
      </c>
      <c r="J329" s="3">
        <v>392.50295499999999</v>
      </c>
      <c r="K329" s="3">
        <v>21555.964</v>
      </c>
      <c r="L329" s="3">
        <v>21555.964</v>
      </c>
      <c r="M329" s="3">
        <v>21555.964</v>
      </c>
      <c r="N329" s="3">
        <v>21555.964</v>
      </c>
      <c r="O329" s="4">
        <v>0</v>
      </c>
      <c r="P329" s="4">
        <v>0</v>
      </c>
      <c r="Q329" s="4">
        <v>0</v>
      </c>
      <c r="R329" s="5">
        <v>5.5999999999999999E-3</v>
      </c>
      <c r="S329">
        <v>1</v>
      </c>
      <c r="T329" t="b">
        <v>0</v>
      </c>
      <c r="U329">
        <v>1</v>
      </c>
      <c r="V329" s="4">
        <v>242.34</v>
      </c>
    </row>
    <row r="330" spans="1:22" hidden="1" x14ac:dyDescent="0.35">
      <c r="A330" t="s">
        <v>21</v>
      </c>
      <c r="B330">
        <v>4</v>
      </c>
      <c r="C330">
        <v>2</v>
      </c>
      <c r="D330">
        <v>10</v>
      </c>
      <c r="E330" t="s">
        <v>22</v>
      </c>
      <c r="F330">
        <v>50</v>
      </c>
      <c r="G330">
        <v>1</v>
      </c>
      <c r="H330">
        <v>20</v>
      </c>
      <c r="I330" t="s">
        <v>26</v>
      </c>
      <c r="J330" s="3">
        <v>359.36659200000003</v>
      </c>
      <c r="K330" s="3">
        <v>21555.964</v>
      </c>
      <c r="L330" s="3">
        <v>21555.964</v>
      </c>
      <c r="M330" s="3">
        <v>21555.964</v>
      </c>
      <c r="N330" s="3">
        <v>21555.964</v>
      </c>
      <c r="O330" s="4">
        <v>0</v>
      </c>
      <c r="P330" s="4">
        <v>0</v>
      </c>
      <c r="Q330" s="4">
        <v>0</v>
      </c>
      <c r="R330" s="5">
        <v>2.5999999999999999E-3</v>
      </c>
      <c r="S330">
        <v>1</v>
      </c>
      <c r="T330" t="b">
        <v>0</v>
      </c>
      <c r="U330">
        <v>1</v>
      </c>
      <c r="V330" s="4">
        <v>11.53</v>
      </c>
    </row>
    <row r="331" spans="1:22" hidden="1" x14ac:dyDescent="0.35">
      <c r="A331" t="s">
        <v>21</v>
      </c>
      <c r="B331">
        <v>4</v>
      </c>
      <c r="C331">
        <v>2</v>
      </c>
      <c r="D331">
        <v>10</v>
      </c>
      <c r="E331" t="s">
        <v>22</v>
      </c>
      <c r="F331">
        <v>50</v>
      </c>
      <c r="G331">
        <v>3</v>
      </c>
      <c r="H331">
        <v>20</v>
      </c>
      <c r="I331" t="s">
        <v>26</v>
      </c>
      <c r="J331" s="3">
        <v>353.01534700000002</v>
      </c>
      <c r="K331" s="3">
        <v>21555.964</v>
      </c>
      <c r="L331" s="3">
        <v>21555.964</v>
      </c>
      <c r="M331" s="3">
        <v>21555.964</v>
      </c>
      <c r="N331" s="3">
        <v>21555.964</v>
      </c>
      <c r="O331" s="4">
        <v>0</v>
      </c>
      <c r="P331" s="4">
        <v>0</v>
      </c>
      <c r="Q331" s="4">
        <v>0</v>
      </c>
      <c r="R331" s="5">
        <v>3.7000000000000002E-3</v>
      </c>
      <c r="S331">
        <v>1</v>
      </c>
      <c r="T331" t="b">
        <v>0</v>
      </c>
      <c r="U331">
        <v>1</v>
      </c>
      <c r="V331" s="4">
        <v>30.31</v>
      </c>
    </row>
    <row r="332" spans="1:22" hidden="1" x14ac:dyDescent="0.35">
      <c r="A332" t="s">
        <v>21</v>
      </c>
      <c r="B332">
        <v>4</v>
      </c>
      <c r="C332">
        <v>2</v>
      </c>
      <c r="D332">
        <v>10</v>
      </c>
      <c r="E332" t="s">
        <v>22</v>
      </c>
      <c r="F332">
        <v>200</v>
      </c>
      <c r="G332">
        <v>1</v>
      </c>
      <c r="H332">
        <v>20</v>
      </c>
      <c r="I332" t="s">
        <v>26</v>
      </c>
      <c r="J332" s="3">
        <v>359.36659200000003</v>
      </c>
      <c r="K332" s="3">
        <v>21555.964</v>
      </c>
      <c r="L332" s="3">
        <v>21555.964</v>
      </c>
      <c r="M332" s="3">
        <v>21555.964</v>
      </c>
      <c r="N332" s="3">
        <v>21555.964</v>
      </c>
      <c r="O332" s="4">
        <v>0</v>
      </c>
      <c r="P332" s="4">
        <v>0</v>
      </c>
      <c r="Q332" s="4">
        <v>0</v>
      </c>
      <c r="R332" s="5">
        <v>2.5999999999999999E-3</v>
      </c>
      <c r="S332">
        <v>1</v>
      </c>
      <c r="T332" t="b">
        <v>0</v>
      </c>
      <c r="U332">
        <v>1</v>
      </c>
      <c r="V332" s="4">
        <v>10.95</v>
      </c>
    </row>
    <row r="333" spans="1:22" hidden="1" x14ac:dyDescent="0.35">
      <c r="A333" t="s">
        <v>21</v>
      </c>
      <c r="B333">
        <v>4</v>
      </c>
      <c r="C333">
        <v>2</v>
      </c>
      <c r="D333">
        <v>10</v>
      </c>
      <c r="E333" t="s">
        <v>22</v>
      </c>
      <c r="F333">
        <v>200</v>
      </c>
      <c r="G333">
        <v>3</v>
      </c>
      <c r="H333">
        <v>20</v>
      </c>
      <c r="I333" t="s">
        <v>26</v>
      </c>
      <c r="J333" s="3">
        <v>353.01534700000002</v>
      </c>
      <c r="K333" s="3">
        <v>21555.964</v>
      </c>
      <c r="L333" s="3">
        <v>21555.964</v>
      </c>
      <c r="M333" s="3">
        <v>21555.964</v>
      </c>
      <c r="N333" s="3">
        <v>21555.964</v>
      </c>
      <c r="O333" s="4">
        <v>0</v>
      </c>
      <c r="P333" s="4">
        <v>0</v>
      </c>
      <c r="Q333" s="4">
        <v>0</v>
      </c>
      <c r="R333" s="5">
        <v>3.7000000000000002E-3</v>
      </c>
      <c r="S333">
        <v>1</v>
      </c>
      <c r="T333" t="b">
        <v>0</v>
      </c>
      <c r="U333">
        <v>1</v>
      </c>
      <c r="V333" s="4">
        <v>30.22</v>
      </c>
    </row>
    <row r="334" spans="1:22" hidden="1" x14ac:dyDescent="0.35">
      <c r="A334" t="s">
        <v>21</v>
      </c>
      <c r="B334">
        <v>4</v>
      </c>
      <c r="C334">
        <v>2</v>
      </c>
      <c r="D334">
        <v>10</v>
      </c>
      <c r="E334" t="s">
        <v>25</v>
      </c>
      <c r="F334">
        <v>50</v>
      </c>
      <c r="G334">
        <v>1</v>
      </c>
      <c r="H334">
        <v>20</v>
      </c>
      <c r="I334" t="s">
        <v>26</v>
      </c>
      <c r="J334" s="3">
        <v>1040.707817</v>
      </c>
      <c r="K334" s="3" t="s">
        <v>24</v>
      </c>
      <c r="L334" s="3" t="s">
        <v>24</v>
      </c>
      <c r="M334" s="3" t="s">
        <v>24</v>
      </c>
      <c r="N334" s="3">
        <v>21555.964</v>
      </c>
      <c r="O334" s="4"/>
      <c r="P334" s="4"/>
      <c r="Q334" s="4"/>
      <c r="R334" s="5">
        <v>0</v>
      </c>
      <c r="S334">
        <v>0</v>
      </c>
      <c r="T334" t="b">
        <v>1</v>
      </c>
      <c r="U334">
        <v>-1</v>
      </c>
      <c r="V334" s="4">
        <v>1.91</v>
      </c>
    </row>
    <row r="335" spans="1:22" hidden="1" x14ac:dyDescent="0.35">
      <c r="A335" t="s">
        <v>21</v>
      </c>
      <c r="B335">
        <v>4</v>
      </c>
      <c r="C335">
        <v>2</v>
      </c>
      <c r="D335">
        <v>10</v>
      </c>
      <c r="E335" t="s">
        <v>25</v>
      </c>
      <c r="F335">
        <v>50</v>
      </c>
      <c r="G335">
        <v>3</v>
      </c>
      <c r="H335">
        <v>20</v>
      </c>
      <c r="I335" t="s">
        <v>26</v>
      </c>
      <c r="J335" s="3">
        <v>758.89455399999997</v>
      </c>
      <c r="K335" s="3">
        <v>21555.964</v>
      </c>
      <c r="L335" s="3">
        <v>21555.964</v>
      </c>
      <c r="M335" s="3">
        <v>21555.964</v>
      </c>
      <c r="N335" s="3">
        <v>21555.964</v>
      </c>
      <c r="O335" s="4">
        <v>0</v>
      </c>
      <c r="P335" s="4">
        <v>0</v>
      </c>
      <c r="Q335" s="4">
        <v>0</v>
      </c>
      <c r="R335" s="5">
        <v>7.1999999999999998E-3</v>
      </c>
      <c r="S335">
        <v>1</v>
      </c>
      <c r="T335" t="b">
        <v>0</v>
      </c>
      <c r="U335">
        <v>1</v>
      </c>
      <c r="V335" s="4">
        <v>4.79</v>
      </c>
    </row>
    <row r="336" spans="1:22" hidden="1" x14ac:dyDescent="0.35">
      <c r="A336" t="s">
        <v>21</v>
      </c>
      <c r="B336">
        <v>4</v>
      </c>
      <c r="C336">
        <v>2</v>
      </c>
      <c r="D336">
        <v>10</v>
      </c>
      <c r="E336" t="s">
        <v>25</v>
      </c>
      <c r="F336">
        <v>200</v>
      </c>
      <c r="G336">
        <v>1</v>
      </c>
      <c r="H336">
        <v>20</v>
      </c>
      <c r="I336" t="s">
        <v>26</v>
      </c>
      <c r="J336" s="3">
        <v>1040.707817</v>
      </c>
      <c r="K336" s="3" t="s">
        <v>24</v>
      </c>
      <c r="L336" s="3" t="s">
        <v>24</v>
      </c>
      <c r="M336" s="3" t="s">
        <v>24</v>
      </c>
      <c r="N336" s="3">
        <v>21555.964</v>
      </c>
      <c r="O336" s="4"/>
      <c r="P336" s="4"/>
      <c r="Q336" s="4"/>
      <c r="R336" s="5">
        <v>0</v>
      </c>
      <c r="S336">
        <v>0</v>
      </c>
      <c r="T336" t="b">
        <v>1</v>
      </c>
      <c r="U336">
        <v>-1</v>
      </c>
      <c r="V336" s="4">
        <v>1.96</v>
      </c>
    </row>
    <row r="337" spans="1:22" hidden="1" x14ac:dyDescent="0.35">
      <c r="A337" t="s">
        <v>21</v>
      </c>
      <c r="B337">
        <v>4</v>
      </c>
      <c r="C337">
        <v>2</v>
      </c>
      <c r="D337">
        <v>10</v>
      </c>
      <c r="E337" t="s">
        <v>25</v>
      </c>
      <c r="F337">
        <v>200</v>
      </c>
      <c r="G337">
        <v>3</v>
      </c>
      <c r="H337">
        <v>20</v>
      </c>
      <c r="I337" t="s">
        <v>26</v>
      </c>
      <c r="J337" s="3">
        <v>758.89455399999997</v>
      </c>
      <c r="K337" s="3">
        <v>21555.964</v>
      </c>
      <c r="L337" s="3">
        <v>21555.964</v>
      </c>
      <c r="M337" s="3">
        <v>21555.964</v>
      </c>
      <c r="N337" s="3">
        <v>21555.964</v>
      </c>
      <c r="O337" s="4">
        <v>0</v>
      </c>
      <c r="P337" s="4">
        <v>0</v>
      </c>
      <c r="Q337" s="4">
        <v>0</v>
      </c>
      <c r="R337" s="5">
        <v>7.1999999999999998E-3</v>
      </c>
      <c r="S337">
        <v>1</v>
      </c>
      <c r="T337" t="b">
        <v>0</v>
      </c>
      <c r="U337">
        <v>1</v>
      </c>
      <c r="V337" s="4">
        <v>4.8099999999999996</v>
      </c>
    </row>
    <row r="338" spans="1:22" hidden="1" x14ac:dyDescent="0.35">
      <c r="A338" t="s">
        <v>21</v>
      </c>
      <c r="B338">
        <v>4</v>
      </c>
      <c r="C338">
        <v>3</v>
      </c>
      <c r="D338">
        <v>2</v>
      </c>
      <c r="E338" t="s">
        <v>22</v>
      </c>
      <c r="F338">
        <v>50</v>
      </c>
      <c r="G338">
        <v>1</v>
      </c>
      <c r="H338">
        <v>20</v>
      </c>
      <c r="I338" t="s">
        <v>26</v>
      </c>
      <c r="J338" s="3">
        <v>70.072338999999999</v>
      </c>
      <c r="K338" s="3">
        <v>21555.964</v>
      </c>
      <c r="L338" s="3">
        <v>21555.964</v>
      </c>
      <c r="M338" s="3">
        <v>21555.964</v>
      </c>
      <c r="N338" s="3">
        <v>21555.964</v>
      </c>
      <c r="O338" s="4">
        <v>0</v>
      </c>
      <c r="P338" s="4">
        <v>0</v>
      </c>
      <c r="Q338" s="4">
        <v>0</v>
      </c>
      <c r="R338" s="5">
        <v>4.8999999999999998E-3</v>
      </c>
      <c r="S338">
        <v>1</v>
      </c>
      <c r="T338" t="b">
        <v>0</v>
      </c>
      <c r="U338">
        <v>1</v>
      </c>
      <c r="V338" s="4">
        <v>15.12</v>
      </c>
    </row>
    <row r="339" spans="1:22" hidden="1" x14ac:dyDescent="0.35">
      <c r="A339" t="s">
        <v>21</v>
      </c>
      <c r="B339">
        <v>4</v>
      </c>
      <c r="C339">
        <v>3</v>
      </c>
      <c r="D339">
        <v>2</v>
      </c>
      <c r="E339" t="s">
        <v>22</v>
      </c>
      <c r="F339">
        <v>50</v>
      </c>
      <c r="G339">
        <v>3</v>
      </c>
      <c r="H339">
        <v>20</v>
      </c>
      <c r="I339" t="s">
        <v>26</v>
      </c>
      <c r="J339" s="3">
        <v>70.072338999999999</v>
      </c>
      <c r="K339" s="3">
        <v>21555.964</v>
      </c>
      <c r="L339" s="3">
        <v>21555.964</v>
      </c>
      <c r="M339" s="3">
        <v>21555.964</v>
      </c>
      <c r="N339" s="3">
        <v>21555.964</v>
      </c>
      <c r="O339" s="4">
        <v>0</v>
      </c>
      <c r="P339" s="4">
        <v>0</v>
      </c>
      <c r="Q339" s="4">
        <v>0</v>
      </c>
      <c r="R339" s="5">
        <v>4.8999999999999998E-3</v>
      </c>
      <c r="S339">
        <v>1</v>
      </c>
      <c r="T339" t="b">
        <v>0</v>
      </c>
      <c r="U339">
        <v>1</v>
      </c>
      <c r="V339" s="4">
        <v>44.77</v>
      </c>
    </row>
    <row r="340" spans="1:22" hidden="1" x14ac:dyDescent="0.35">
      <c r="A340" t="s">
        <v>21</v>
      </c>
      <c r="B340">
        <v>4</v>
      </c>
      <c r="C340">
        <v>3</v>
      </c>
      <c r="D340">
        <v>2</v>
      </c>
      <c r="E340" t="s">
        <v>22</v>
      </c>
      <c r="F340">
        <v>200</v>
      </c>
      <c r="G340">
        <v>1</v>
      </c>
      <c r="H340">
        <v>20</v>
      </c>
      <c r="I340" t="s">
        <v>26</v>
      </c>
      <c r="J340" s="3">
        <v>69.066533000000007</v>
      </c>
      <c r="K340" s="3">
        <v>21555.964</v>
      </c>
      <c r="L340" s="3">
        <v>21555.964</v>
      </c>
      <c r="M340" s="3">
        <v>21555.964</v>
      </c>
      <c r="N340" s="3">
        <v>21555.964</v>
      </c>
      <c r="O340" s="4">
        <v>0</v>
      </c>
      <c r="P340" s="4">
        <v>0</v>
      </c>
      <c r="Q340" s="4">
        <v>0</v>
      </c>
      <c r="R340" s="5">
        <v>4.5999999999999999E-3</v>
      </c>
      <c r="S340">
        <v>1</v>
      </c>
      <c r="T340" t="b">
        <v>0</v>
      </c>
      <c r="U340">
        <v>1</v>
      </c>
      <c r="V340" s="4">
        <v>19.91</v>
      </c>
    </row>
    <row r="341" spans="1:22" hidden="1" x14ac:dyDescent="0.35">
      <c r="A341" t="s">
        <v>21</v>
      </c>
      <c r="B341">
        <v>4</v>
      </c>
      <c r="C341">
        <v>3</v>
      </c>
      <c r="D341">
        <v>2</v>
      </c>
      <c r="E341" t="s">
        <v>22</v>
      </c>
      <c r="F341">
        <v>200</v>
      </c>
      <c r="G341">
        <v>3</v>
      </c>
      <c r="H341">
        <v>20</v>
      </c>
      <c r="I341" t="s">
        <v>26</v>
      </c>
      <c r="J341" s="3">
        <v>69.066533000000007</v>
      </c>
      <c r="K341" s="3">
        <v>21555.964</v>
      </c>
      <c r="L341" s="3">
        <v>21555.964</v>
      </c>
      <c r="M341" s="3">
        <v>21555.964</v>
      </c>
      <c r="N341" s="3">
        <v>21555.964</v>
      </c>
      <c r="O341" s="4">
        <v>0</v>
      </c>
      <c r="P341" s="4">
        <v>0</v>
      </c>
      <c r="Q341" s="4">
        <v>0</v>
      </c>
      <c r="R341" s="5">
        <v>4.5999999999999999E-3</v>
      </c>
      <c r="S341">
        <v>1</v>
      </c>
      <c r="T341" t="b">
        <v>0</v>
      </c>
      <c r="U341">
        <v>1</v>
      </c>
      <c r="V341" s="4">
        <v>63.42</v>
      </c>
    </row>
    <row r="342" spans="1:22" hidden="1" x14ac:dyDescent="0.35">
      <c r="A342" t="s">
        <v>21</v>
      </c>
      <c r="B342">
        <v>4</v>
      </c>
      <c r="C342">
        <v>3</v>
      </c>
      <c r="D342">
        <v>2</v>
      </c>
      <c r="E342" t="s">
        <v>25</v>
      </c>
      <c r="F342">
        <v>50</v>
      </c>
      <c r="G342">
        <v>1</v>
      </c>
      <c r="H342">
        <v>20</v>
      </c>
      <c r="I342" t="s">
        <v>26</v>
      </c>
      <c r="J342" s="3">
        <v>217.560079</v>
      </c>
      <c r="K342" s="3" t="s">
        <v>24</v>
      </c>
      <c r="L342" s="3" t="s">
        <v>24</v>
      </c>
      <c r="M342" s="3" t="s">
        <v>24</v>
      </c>
      <c r="N342" s="3">
        <v>21555.964</v>
      </c>
      <c r="O342" s="4"/>
      <c r="P342" s="4"/>
      <c r="Q342" s="4"/>
      <c r="R342" s="5">
        <v>0</v>
      </c>
      <c r="S342">
        <v>0</v>
      </c>
      <c r="T342" t="b">
        <v>1</v>
      </c>
      <c r="U342">
        <v>-1</v>
      </c>
      <c r="V342" s="4">
        <v>2.86</v>
      </c>
    </row>
    <row r="343" spans="1:22" hidden="1" x14ac:dyDescent="0.35">
      <c r="A343" t="s">
        <v>21</v>
      </c>
      <c r="B343">
        <v>4</v>
      </c>
      <c r="C343">
        <v>3</v>
      </c>
      <c r="D343">
        <v>2</v>
      </c>
      <c r="E343" t="s">
        <v>25</v>
      </c>
      <c r="F343">
        <v>50</v>
      </c>
      <c r="G343">
        <v>3</v>
      </c>
      <c r="H343">
        <v>20</v>
      </c>
      <c r="I343" t="s">
        <v>26</v>
      </c>
      <c r="J343" s="3">
        <v>202.27557899999999</v>
      </c>
      <c r="K343" s="3">
        <v>21555.964</v>
      </c>
      <c r="L343" s="3">
        <v>21555.964</v>
      </c>
      <c r="M343" s="3">
        <v>21555.964</v>
      </c>
      <c r="N343" s="3">
        <v>21555.964</v>
      </c>
      <c r="O343" s="4">
        <v>0</v>
      </c>
      <c r="P343" s="4">
        <v>0</v>
      </c>
      <c r="Q343" s="4">
        <v>0</v>
      </c>
      <c r="R343" s="5">
        <v>3.3999999999999998E-3</v>
      </c>
      <c r="S343">
        <v>1</v>
      </c>
      <c r="T343" t="b">
        <v>0</v>
      </c>
      <c r="U343">
        <v>1</v>
      </c>
      <c r="V343" s="4">
        <v>7.57</v>
      </c>
    </row>
    <row r="344" spans="1:22" hidden="1" x14ac:dyDescent="0.35">
      <c r="A344" t="s">
        <v>21</v>
      </c>
      <c r="B344">
        <v>4</v>
      </c>
      <c r="C344">
        <v>3</v>
      </c>
      <c r="D344">
        <v>2</v>
      </c>
      <c r="E344" t="s">
        <v>25</v>
      </c>
      <c r="F344">
        <v>200</v>
      </c>
      <c r="G344">
        <v>1</v>
      </c>
      <c r="H344">
        <v>20</v>
      </c>
      <c r="I344" t="s">
        <v>26</v>
      </c>
      <c r="J344" s="3">
        <v>217.560079</v>
      </c>
      <c r="K344" s="3" t="s">
        <v>24</v>
      </c>
      <c r="L344" s="3" t="s">
        <v>24</v>
      </c>
      <c r="M344" s="3" t="s">
        <v>24</v>
      </c>
      <c r="N344" s="3">
        <v>21555.964</v>
      </c>
      <c r="O344" s="4"/>
      <c r="P344" s="4"/>
      <c r="Q344" s="4"/>
      <c r="R344" s="5">
        <v>0</v>
      </c>
      <c r="S344">
        <v>0</v>
      </c>
      <c r="T344" t="b">
        <v>1</v>
      </c>
      <c r="U344">
        <v>-1</v>
      </c>
      <c r="V344" s="4">
        <v>2.99</v>
      </c>
    </row>
    <row r="345" spans="1:22" hidden="1" x14ac:dyDescent="0.35">
      <c r="A345" t="s">
        <v>21</v>
      </c>
      <c r="B345">
        <v>4</v>
      </c>
      <c r="C345">
        <v>3</v>
      </c>
      <c r="D345">
        <v>2</v>
      </c>
      <c r="E345" t="s">
        <v>25</v>
      </c>
      <c r="F345">
        <v>200</v>
      </c>
      <c r="G345">
        <v>3</v>
      </c>
      <c r="H345">
        <v>20</v>
      </c>
      <c r="I345" t="s">
        <v>26</v>
      </c>
      <c r="J345" s="3">
        <v>202.27557899999999</v>
      </c>
      <c r="K345" s="3">
        <v>21555.964</v>
      </c>
      <c r="L345" s="3">
        <v>21555.964</v>
      </c>
      <c r="M345" s="3">
        <v>21555.964</v>
      </c>
      <c r="N345" s="3">
        <v>21555.964</v>
      </c>
      <c r="O345" s="4">
        <v>0</v>
      </c>
      <c r="P345" s="4">
        <v>0</v>
      </c>
      <c r="Q345" s="4">
        <v>0</v>
      </c>
      <c r="R345" s="5">
        <v>3.3999999999999998E-3</v>
      </c>
      <c r="S345">
        <v>1</v>
      </c>
      <c r="T345" t="b">
        <v>0</v>
      </c>
      <c r="U345">
        <v>1</v>
      </c>
      <c r="V345" s="4">
        <v>8.06</v>
      </c>
    </row>
    <row r="346" spans="1:22" hidden="1" x14ac:dyDescent="0.35">
      <c r="A346" t="s">
        <v>21</v>
      </c>
      <c r="B346">
        <v>4</v>
      </c>
      <c r="C346">
        <v>3</v>
      </c>
      <c r="D346">
        <v>5</v>
      </c>
      <c r="E346" t="s">
        <v>22</v>
      </c>
      <c r="F346">
        <v>50</v>
      </c>
      <c r="G346">
        <v>1</v>
      </c>
      <c r="H346">
        <v>20</v>
      </c>
      <c r="I346" t="s">
        <v>26</v>
      </c>
      <c r="J346" s="3">
        <v>517.82377299999996</v>
      </c>
      <c r="K346" s="3" t="s">
        <v>24</v>
      </c>
      <c r="L346" s="3" t="s">
        <v>24</v>
      </c>
      <c r="M346" s="3" t="s">
        <v>24</v>
      </c>
      <c r="N346" s="3">
        <v>21555.964</v>
      </c>
      <c r="O346" s="4"/>
      <c r="P346" s="4"/>
      <c r="Q346" s="4"/>
      <c r="R346" s="5">
        <v>0</v>
      </c>
      <c r="S346">
        <v>0</v>
      </c>
      <c r="T346" t="b">
        <v>1</v>
      </c>
      <c r="U346">
        <v>-1</v>
      </c>
      <c r="V346" s="4">
        <v>15.37</v>
      </c>
    </row>
    <row r="347" spans="1:22" hidden="1" x14ac:dyDescent="0.35">
      <c r="A347" t="s">
        <v>21</v>
      </c>
      <c r="B347">
        <v>4</v>
      </c>
      <c r="C347">
        <v>3</v>
      </c>
      <c r="D347">
        <v>5</v>
      </c>
      <c r="E347" t="s">
        <v>22</v>
      </c>
      <c r="F347">
        <v>50</v>
      </c>
      <c r="G347">
        <v>3</v>
      </c>
      <c r="H347">
        <v>20</v>
      </c>
      <c r="I347" t="s">
        <v>26</v>
      </c>
      <c r="J347" s="3">
        <v>476.00828799999999</v>
      </c>
      <c r="K347" s="3">
        <v>21555.964</v>
      </c>
      <c r="L347" s="3">
        <v>21555.964</v>
      </c>
      <c r="M347" s="3">
        <v>21555.964</v>
      </c>
      <c r="N347" s="3">
        <v>21555.964</v>
      </c>
      <c r="O347" s="4">
        <v>0</v>
      </c>
      <c r="P347" s="4">
        <v>0</v>
      </c>
      <c r="Q347" s="4">
        <v>0</v>
      </c>
      <c r="R347" s="5">
        <v>5.9999999999999995E-4</v>
      </c>
      <c r="S347">
        <v>1</v>
      </c>
      <c r="T347" t="b">
        <v>0</v>
      </c>
      <c r="U347">
        <v>1</v>
      </c>
      <c r="V347" s="4">
        <v>45.04</v>
      </c>
    </row>
    <row r="348" spans="1:22" hidden="1" x14ac:dyDescent="0.35">
      <c r="A348" t="s">
        <v>21</v>
      </c>
      <c r="B348">
        <v>4</v>
      </c>
      <c r="C348">
        <v>3</v>
      </c>
      <c r="D348">
        <v>5</v>
      </c>
      <c r="E348" t="s">
        <v>22</v>
      </c>
      <c r="F348">
        <v>200</v>
      </c>
      <c r="G348">
        <v>1</v>
      </c>
      <c r="H348">
        <v>20</v>
      </c>
      <c r="I348" t="s">
        <v>26</v>
      </c>
      <c r="J348" s="3">
        <v>517.82377299999996</v>
      </c>
      <c r="K348" s="3" t="s">
        <v>24</v>
      </c>
      <c r="L348" s="3" t="s">
        <v>24</v>
      </c>
      <c r="M348" s="3" t="s">
        <v>24</v>
      </c>
      <c r="N348" s="3">
        <v>21555.964</v>
      </c>
      <c r="O348" s="4"/>
      <c r="P348" s="4"/>
      <c r="Q348" s="4"/>
      <c r="R348" s="5">
        <v>0</v>
      </c>
      <c r="S348">
        <v>0</v>
      </c>
      <c r="T348" t="b">
        <v>1</v>
      </c>
      <c r="U348">
        <v>-1</v>
      </c>
      <c r="V348" s="4">
        <v>15.41</v>
      </c>
    </row>
    <row r="349" spans="1:22" hidden="1" x14ac:dyDescent="0.35">
      <c r="A349" t="s">
        <v>21</v>
      </c>
      <c r="B349">
        <v>4</v>
      </c>
      <c r="C349">
        <v>3</v>
      </c>
      <c r="D349">
        <v>5</v>
      </c>
      <c r="E349" t="s">
        <v>22</v>
      </c>
      <c r="F349">
        <v>200</v>
      </c>
      <c r="G349">
        <v>3</v>
      </c>
      <c r="H349">
        <v>20</v>
      </c>
      <c r="I349" t="s">
        <v>26</v>
      </c>
      <c r="J349" s="3">
        <v>472.414672</v>
      </c>
      <c r="K349" s="3">
        <v>21555.964</v>
      </c>
      <c r="L349" s="3">
        <v>21555.964</v>
      </c>
      <c r="M349" s="3">
        <v>21555.964</v>
      </c>
      <c r="N349" s="3">
        <v>21555.964</v>
      </c>
      <c r="O349" s="4">
        <v>0</v>
      </c>
      <c r="P349" s="4">
        <v>0</v>
      </c>
      <c r="Q349" s="4">
        <v>0</v>
      </c>
      <c r="R349" s="5">
        <v>5.9999999999999995E-4</v>
      </c>
      <c r="S349">
        <v>1</v>
      </c>
      <c r="T349" t="b">
        <v>0</v>
      </c>
      <c r="U349">
        <v>1</v>
      </c>
      <c r="V349" s="4">
        <v>49.1</v>
      </c>
    </row>
    <row r="350" spans="1:22" hidden="1" x14ac:dyDescent="0.35">
      <c r="A350" t="s">
        <v>21</v>
      </c>
      <c r="B350">
        <v>4</v>
      </c>
      <c r="C350">
        <v>3</v>
      </c>
      <c r="D350">
        <v>5</v>
      </c>
      <c r="E350" t="s">
        <v>25</v>
      </c>
      <c r="F350">
        <v>50</v>
      </c>
      <c r="G350">
        <v>1</v>
      </c>
      <c r="H350">
        <v>20</v>
      </c>
      <c r="I350" t="s">
        <v>26</v>
      </c>
      <c r="J350" s="3">
        <v>536.585329</v>
      </c>
      <c r="K350" s="3" t="s">
        <v>24</v>
      </c>
      <c r="L350" s="3" t="s">
        <v>24</v>
      </c>
      <c r="M350" s="3" t="s">
        <v>24</v>
      </c>
      <c r="N350" s="3">
        <v>21555.964</v>
      </c>
      <c r="O350" s="4"/>
      <c r="P350" s="4"/>
      <c r="Q350" s="4"/>
      <c r="R350" s="5">
        <v>0</v>
      </c>
      <c r="S350">
        <v>0</v>
      </c>
      <c r="T350" t="b">
        <v>1</v>
      </c>
      <c r="U350">
        <v>-1</v>
      </c>
      <c r="V350" s="4">
        <v>2.86</v>
      </c>
    </row>
    <row r="351" spans="1:22" hidden="1" x14ac:dyDescent="0.35">
      <c r="A351" t="s">
        <v>21</v>
      </c>
      <c r="B351">
        <v>4</v>
      </c>
      <c r="C351">
        <v>3</v>
      </c>
      <c r="D351">
        <v>5</v>
      </c>
      <c r="E351" t="s">
        <v>25</v>
      </c>
      <c r="F351">
        <v>50</v>
      </c>
      <c r="G351">
        <v>3</v>
      </c>
      <c r="H351">
        <v>20</v>
      </c>
      <c r="I351" t="s">
        <v>26</v>
      </c>
      <c r="J351" s="3">
        <v>511.94187899999997</v>
      </c>
      <c r="K351" s="3">
        <v>21555.964</v>
      </c>
      <c r="L351" s="3">
        <v>21555.964</v>
      </c>
      <c r="M351" s="3">
        <v>21555.964</v>
      </c>
      <c r="N351" s="3">
        <v>21555.964</v>
      </c>
      <c r="O351" s="4">
        <v>0</v>
      </c>
      <c r="P351" s="4">
        <v>0</v>
      </c>
      <c r="Q351" s="4">
        <v>0</v>
      </c>
      <c r="R351" s="5">
        <v>2.5999999999999999E-3</v>
      </c>
      <c r="S351">
        <v>1</v>
      </c>
      <c r="T351" t="b">
        <v>0</v>
      </c>
      <c r="U351">
        <v>1</v>
      </c>
      <c r="V351" s="4">
        <v>7.65</v>
      </c>
    </row>
    <row r="352" spans="1:22" hidden="1" x14ac:dyDescent="0.35">
      <c r="A352" t="s">
        <v>21</v>
      </c>
      <c r="B352">
        <v>4</v>
      </c>
      <c r="C352">
        <v>3</v>
      </c>
      <c r="D352">
        <v>5</v>
      </c>
      <c r="E352" t="s">
        <v>25</v>
      </c>
      <c r="F352">
        <v>200</v>
      </c>
      <c r="G352">
        <v>1</v>
      </c>
      <c r="H352">
        <v>20</v>
      </c>
      <c r="I352" t="s">
        <v>26</v>
      </c>
      <c r="J352" s="3">
        <v>536.585329</v>
      </c>
      <c r="K352" s="3" t="s">
        <v>24</v>
      </c>
      <c r="L352" s="3" t="s">
        <v>24</v>
      </c>
      <c r="M352" s="3" t="s">
        <v>24</v>
      </c>
      <c r="N352" s="3">
        <v>21555.964</v>
      </c>
      <c r="O352" s="4"/>
      <c r="P352" s="4"/>
      <c r="Q352" s="4"/>
      <c r="R352" s="5">
        <v>0</v>
      </c>
      <c r="S352">
        <v>0</v>
      </c>
      <c r="T352" t="b">
        <v>1</v>
      </c>
      <c r="U352">
        <v>-1</v>
      </c>
      <c r="V352" s="4">
        <v>3.04</v>
      </c>
    </row>
    <row r="353" spans="1:22" hidden="1" x14ac:dyDescent="0.35">
      <c r="A353" t="s">
        <v>21</v>
      </c>
      <c r="B353">
        <v>4</v>
      </c>
      <c r="C353">
        <v>3</v>
      </c>
      <c r="D353">
        <v>5</v>
      </c>
      <c r="E353" t="s">
        <v>25</v>
      </c>
      <c r="F353">
        <v>200</v>
      </c>
      <c r="G353">
        <v>3</v>
      </c>
      <c r="H353">
        <v>20</v>
      </c>
      <c r="I353" t="s">
        <v>26</v>
      </c>
      <c r="J353" s="3">
        <v>511.94187899999997</v>
      </c>
      <c r="K353" s="3">
        <v>21555.964</v>
      </c>
      <c r="L353" s="3">
        <v>21555.964</v>
      </c>
      <c r="M353" s="3">
        <v>21555.964</v>
      </c>
      <c r="N353" s="3">
        <v>21555.964</v>
      </c>
      <c r="O353" s="4">
        <v>0</v>
      </c>
      <c r="P353" s="4">
        <v>0</v>
      </c>
      <c r="Q353" s="4">
        <v>0</v>
      </c>
      <c r="R353" s="5">
        <v>2.5999999999999999E-3</v>
      </c>
      <c r="S353">
        <v>1</v>
      </c>
      <c r="T353" t="b">
        <v>0</v>
      </c>
      <c r="U353">
        <v>1</v>
      </c>
      <c r="V353" s="4">
        <v>7.67</v>
      </c>
    </row>
    <row r="354" spans="1:22" hidden="1" x14ac:dyDescent="0.35">
      <c r="A354" t="s">
        <v>21</v>
      </c>
      <c r="B354">
        <v>4</v>
      </c>
      <c r="C354">
        <v>3</v>
      </c>
      <c r="D354">
        <v>10</v>
      </c>
      <c r="E354" t="s">
        <v>22</v>
      </c>
      <c r="F354">
        <v>50</v>
      </c>
      <c r="G354">
        <v>1</v>
      </c>
      <c r="H354">
        <v>20</v>
      </c>
      <c r="I354" t="s">
        <v>26</v>
      </c>
      <c r="J354" s="3">
        <v>1015.862829</v>
      </c>
      <c r="K354" s="3" t="s">
        <v>24</v>
      </c>
      <c r="L354" s="3" t="s">
        <v>24</v>
      </c>
      <c r="M354" s="3" t="s">
        <v>24</v>
      </c>
      <c r="N354" s="3">
        <v>21555.964</v>
      </c>
      <c r="O354" s="4"/>
      <c r="P354" s="4"/>
      <c r="Q354" s="4"/>
      <c r="R354" s="5">
        <v>0</v>
      </c>
      <c r="S354">
        <v>0</v>
      </c>
      <c r="T354" t="b">
        <v>1</v>
      </c>
      <c r="U354">
        <v>-1</v>
      </c>
      <c r="V354" s="4">
        <v>15.62</v>
      </c>
    </row>
    <row r="355" spans="1:22" hidden="1" x14ac:dyDescent="0.35">
      <c r="A355" t="s">
        <v>21</v>
      </c>
      <c r="B355">
        <v>4</v>
      </c>
      <c r="C355">
        <v>3</v>
      </c>
      <c r="D355">
        <v>10</v>
      </c>
      <c r="E355" t="s">
        <v>22</v>
      </c>
      <c r="F355">
        <v>50</v>
      </c>
      <c r="G355">
        <v>3</v>
      </c>
      <c r="H355">
        <v>20</v>
      </c>
      <c r="I355" t="s">
        <v>26</v>
      </c>
      <c r="J355" s="3">
        <v>1014.796078</v>
      </c>
      <c r="K355" s="3">
        <v>21555.964</v>
      </c>
      <c r="L355" s="3">
        <v>21555.964</v>
      </c>
      <c r="M355" s="3">
        <v>21555.964</v>
      </c>
      <c r="N355" s="3">
        <v>21555.964</v>
      </c>
      <c r="O355" s="4">
        <v>0</v>
      </c>
      <c r="P355" s="4">
        <v>0</v>
      </c>
      <c r="Q355" s="4">
        <v>0</v>
      </c>
      <c r="R355" s="5">
        <v>1.6000000000000001E-3</v>
      </c>
      <c r="S355">
        <v>1</v>
      </c>
      <c r="T355" t="b">
        <v>0</v>
      </c>
      <c r="U355">
        <v>1</v>
      </c>
      <c r="V355" s="4">
        <v>44.39</v>
      </c>
    </row>
    <row r="356" spans="1:22" hidden="1" x14ac:dyDescent="0.35">
      <c r="A356" t="s">
        <v>21</v>
      </c>
      <c r="B356">
        <v>4</v>
      </c>
      <c r="C356">
        <v>3</v>
      </c>
      <c r="D356">
        <v>10</v>
      </c>
      <c r="E356" t="s">
        <v>22</v>
      </c>
      <c r="F356">
        <v>200</v>
      </c>
      <c r="G356">
        <v>1</v>
      </c>
      <c r="H356">
        <v>20</v>
      </c>
      <c r="I356" t="s">
        <v>26</v>
      </c>
      <c r="J356" s="3">
        <v>1015.862829</v>
      </c>
      <c r="K356" s="3" t="s">
        <v>24</v>
      </c>
      <c r="L356" s="3" t="s">
        <v>24</v>
      </c>
      <c r="M356" s="3" t="s">
        <v>24</v>
      </c>
      <c r="N356" s="3">
        <v>21555.964</v>
      </c>
      <c r="O356" s="4"/>
      <c r="P356" s="4"/>
      <c r="Q356" s="4"/>
      <c r="R356" s="5">
        <v>0</v>
      </c>
      <c r="S356">
        <v>0</v>
      </c>
      <c r="T356" t="b">
        <v>1</v>
      </c>
      <c r="U356">
        <v>-1</v>
      </c>
      <c r="V356" s="4">
        <v>18.53</v>
      </c>
    </row>
    <row r="357" spans="1:22" hidden="1" x14ac:dyDescent="0.35">
      <c r="A357" t="s">
        <v>21</v>
      </c>
      <c r="B357">
        <v>4</v>
      </c>
      <c r="C357">
        <v>3</v>
      </c>
      <c r="D357">
        <v>10</v>
      </c>
      <c r="E357" t="s">
        <v>22</v>
      </c>
      <c r="F357">
        <v>200</v>
      </c>
      <c r="G357">
        <v>3</v>
      </c>
      <c r="H357">
        <v>20</v>
      </c>
      <c r="I357" t="s">
        <v>26</v>
      </c>
      <c r="J357" s="3">
        <v>1014.796078</v>
      </c>
      <c r="K357" s="3">
        <v>21555.964</v>
      </c>
      <c r="L357" s="3">
        <v>21555.964</v>
      </c>
      <c r="M357" s="3">
        <v>21555.964</v>
      </c>
      <c r="N357" s="3">
        <v>21555.964</v>
      </c>
      <c r="O357" s="4">
        <v>0</v>
      </c>
      <c r="P357" s="4">
        <v>0</v>
      </c>
      <c r="Q357" s="4">
        <v>0</v>
      </c>
      <c r="R357" s="5">
        <v>1.6000000000000001E-3</v>
      </c>
      <c r="S357">
        <v>1</v>
      </c>
      <c r="T357" t="b">
        <v>0</v>
      </c>
      <c r="U357">
        <v>1</v>
      </c>
      <c r="V357" s="4">
        <v>48.55</v>
      </c>
    </row>
    <row r="358" spans="1:22" hidden="1" x14ac:dyDescent="0.35">
      <c r="A358" t="s">
        <v>21</v>
      </c>
      <c r="B358">
        <v>4</v>
      </c>
      <c r="C358">
        <v>3</v>
      </c>
      <c r="D358">
        <v>10</v>
      </c>
      <c r="E358" t="s">
        <v>25</v>
      </c>
      <c r="F358">
        <v>50</v>
      </c>
      <c r="G358">
        <v>1</v>
      </c>
      <c r="H358">
        <v>20</v>
      </c>
      <c r="I358" t="s">
        <v>26</v>
      </c>
      <c r="J358" s="3">
        <v>1058.4754049999999</v>
      </c>
      <c r="K358" s="3">
        <v>21555.964</v>
      </c>
      <c r="L358" s="3">
        <v>21555.964</v>
      </c>
      <c r="M358" s="3">
        <v>21555.964</v>
      </c>
      <c r="N358" s="3">
        <v>21555.964</v>
      </c>
      <c r="O358" s="4">
        <v>0</v>
      </c>
      <c r="P358" s="4">
        <v>0</v>
      </c>
      <c r="Q358" s="4">
        <v>0</v>
      </c>
      <c r="R358" s="5">
        <v>2.0000000000000001E-4</v>
      </c>
      <c r="S358">
        <v>1</v>
      </c>
      <c r="T358" t="b">
        <v>0</v>
      </c>
      <c r="U358">
        <v>1</v>
      </c>
      <c r="V358" s="4">
        <v>3.01</v>
      </c>
    </row>
    <row r="359" spans="1:22" hidden="1" x14ac:dyDescent="0.35">
      <c r="A359" t="s">
        <v>21</v>
      </c>
      <c r="B359">
        <v>4</v>
      </c>
      <c r="C359">
        <v>3</v>
      </c>
      <c r="D359">
        <v>10</v>
      </c>
      <c r="E359" t="s">
        <v>25</v>
      </c>
      <c r="F359">
        <v>50</v>
      </c>
      <c r="G359">
        <v>3</v>
      </c>
      <c r="H359">
        <v>20</v>
      </c>
      <c r="I359" t="s">
        <v>26</v>
      </c>
      <c r="J359" s="3">
        <v>1021.986836</v>
      </c>
      <c r="K359" s="3">
        <v>21555.964</v>
      </c>
      <c r="L359" s="3">
        <v>21555.964</v>
      </c>
      <c r="M359" s="3">
        <v>21555.964</v>
      </c>
      <c r="N359" s="3">
        <v>21555.964</v>
      </c>
      <c r="O359" s="4">
        <v>0</v>
      </c>
      <c r="P359" s="4">
        <v>0</v>
      </c>
      <c r="Q359" s="4">
        <v>0</v>
      </c>
      <c r="R359" s="5">
        <v>2.2000000000000001E-3</v>
      </c>
      <c r="S359">
        <v>1</v>
      </c>
      <c r="T359" t="b">
        <v>0</v>
      </c>
      <c r="U359">
        <v>1</v>
      </c>
      <c r="V359" s="4">
        <v>7.64</v>
      </c>
    </row>
    <row r="360" spans="1:22" hidden="1" x14ac:dyDescent="0.35">
      <c r="A360" t="s">
        <v>21</v>
      </c>
      <c r="B360">
        <v>4</v>
      </c>
      <c r="C360">
        <v>3</v>
      </c>
      <c r="D360">
        <v>10</v>
      </c>
      <c r="E360" t="s">
        <v>25</v>
      </c>
      <c r="F360">
        <v>200</v>
      </c>
      <c r="G360">
        <v>1</v>
      </c>
      <c r="H360">
        <v>20</v>
      </c>
      <c r="I360" t="s">
        <v>26</v>
      </c>
      <c r="J360" s="3">
        <v>1058.4754049999999</v>
      </c>
      <c r="K360" s="3">
        <v>21555.964</v>
      </c>
      <c r="L360" s="3">
        <v>21555.964</v>
      </c>
      <c r="M360" s="3">
        <v>21555.964</v>
      </c>
      <c r="N360" s="3">
        <v>21555.964</v>
      </c>
      <c r="O360" s="4">
        <v>0</v>
      </c>
      <c r="P360" s="4">
        <v>0</v>
      </c>
      <c r="Q360" s="4">
        <v>0</v>
      </c>
      <c r="R360" s="5">
        <v>2.0000000000000001E-4</v>
      </c>
      <c r="S360">
        <v>1</v>
      </c>
      <c r="T360" t="b">
        <v>0</v>
      </c>
      <c r="U360">
        <v>1</v>
      </c>
      <c r="V360" s="4">
        <v>2.94</v>
      </c>
    </row>
    <row r="361" spans="1:22" hidden="1" x14ac:dyDescent="0.35">
      <c r="A361" t="s">
        <v>21</v>
      </c>
      <c r="B361">
        <v>4</v>
      </c>
      <c r="C361">
        <v>3</v>
      </c>
      <c r="D361">
        <v>10</v>
      </c>
      <c r="E361" t="s">
        <v>25</v>
      </c>
      <c r="F361">
        <v>200</v>
      </c>
      <c r="G361">
        <v>3</v>
      </c>
      <c r="H361">
        <v>20</v>
      </c>
      <c r="I361" t="s">
        <v>26</v>
      </c>
      <c r="J361" s="3">
        <v>1021.986836</v>
      </c>
      <c r="K361" s="3">
        <v>21555.964</v>
      </c>
      <c r="L361" s="3">
        <v>21555.964</v>
      </c>
      <c r="M361" s="3">
        <v>21555.964</v>
      </c>
      <c r="N361" s="3">
        <v>21555.964</v>
      </c>
      <c r="O361" s="4">
        <v>0</v>
      </c>
      <c r="P361" s="4">
        <v>0</v>
      </c>
      <c r="Q361" s="4">
        <v>0</v>
      </c>
      <c r="R361" s="5">
        <v>2.2000000000000001E-3</v>
      </c>
      <c r="S361">
        <v>1</v>
      </c>
      <c r="T361" t="b">
        <v>0</v>
      </c>
      <c r="U361">
        <v>1</v>
      </c>
      <c r="V361" s="4">
        <v>7.61</v>
      </c>
    </row>
    <row r="362" spans="1:22" hidden="1" x14ac:dyDescent="0.35">
      <c r="A362" t="s">
        <v>21</v>
      </c>
      <c r="B362">
        <v>4</v>
      </c>
      <c r="C362">
        <v>5</v>
      </c>
      <c r="D362">
        <v>2</v>
      </c>
      <c r="E362" t="s">
        <v>22</v>
      </c>
      <c r="F362">
        <v>50</v>
      </c>
      <c r="G362">
        <v>1</v>
      </c>
      <c r="H362">
        <v>20</v>
      </c>
      <c r="I362" t="s">
        <v>26</v>
      </c>
      <c r="J362" s="3">
        <v>28.780882999999999</v>
      </c>
      <c r="K362" s="3">
        <v>21555.964</v>
      </c>
      <c r="L362" s="3">
        <v>21555.964</v>
      </c>
      <c r="M362" s="3">
        <v>21555.964</v>
      </c>
      <c r="N362" s="3">
        <v>21555.964</v>
      </c>
      <c r="O362" s="4">
        <v>0</v>
      </c>
      <c r="P362" s="4">
        <v>0</v>
      </c>
      <c r="Q362" s="4">
        <v>0</v>
      </c>
      <c r="R362" s="5">
        <v>0.26250000000000001</v>
      </c>
      <c r="S362">
        <v>1</v>
      </c>
      <c r="T362" t="b">
        <v>0</v>
      </c>
      <c r="U362">
        <v>1</v>
      </c>
      <c r="V362" s="4">
        <v>19.38</v>
      </c>
    </row>
    <row r="363" spans="1:22" hidden="1" x14ac:dyDescent="0.35">
      <c r="A363" t="s">
        <v>21</v>
      </c>
      <c r="B363">
        <v>4</v>
      </c>
      <c r="C363">
        <v>5</v>
      </c>
      <c r="D363">
        <v>2</v>
      </c>
      <c r="E363" t="s">
        <v>22</v>
      </c>
      <c r="F363">
        <v>50</v>
      </c>
      <c r="G363">
        <v>3</v>
      </c>
      <c r="H363">
        <v>20</v>
      </c>
      <c r="I363" t="s">
        <v>26</v>
      </c>
      <c r="J363" s="3">
        <v>27.867037</v>
      </c>
      <c r="K363" s="3">
        <v>21555.964</v>
      </c>
      <c r="L363" s="3">
        <v>21555.964</v>
      </c>
      <c r="M363" s="3">
        <v>21555.964</v>
      </c>
      <c r="N363" s="3">
        <v>21555.964</v>
      </c>
      <c r="O363" s="4">
        <v>0</v>
      </c>
      <c r="P363" s="4">
        <v>0</v>
      </c>
      <c r="Q363" s="4">
        <v>0</v>
      </c>
      <c r="R363" s="5">
        <v>0.26129999999999998</v>
      </c>
      <c r="S363">
        <v>1</v>
      </c>
      <c r="T363" t="b">
        <v>0</v>
      </c>
      <c r="U363">
        <v>1</v>
      </c>
      <c r="V363" s="4">
        <v>60.02</v>
      </c>
    </row>
    <row r="364" spans="1:22" hidden="1" x14ac:dyDescent="0.35">
      <c r="A364" t="s">
        <v>21</v>
      </c>
      <c r="B364">
        <v>4</v>
      </c>
      <c r="C364">
        <v>5</v>
      </c>
      <c r="D364">
        <v>2</v>
      </c>
      <c r="E364" t="s">
        <v>22</v>
      </c>
      <c r="F364">
        <v>200</v>
      </c>
      <c r="G364">
        <v>1</v>
      </c>
      <c r="H364">
        <v>20</v>
      </c>
      <c r="I364" t="s">
        <v>26</v>
      </c>
      <c r="J364" s="3">
        <v>27.882997</v>
      </c>
      <c r="K364" s="3">
        <v>21555.964</v>
      </c>
      <c r="L364" s="3">
        <v>21555.964</v>
      </c>
      <c r="M364" s="3">
        <v>21555.964</v>
      </c>
      <c r="N364" s="3">
        <v>21555.964</v>
      </c>
      <c r="O364" s="4">
        <v>0</v>
      </c>
      <c r="P364" s="4">
        <v>0</v>
      </c>
      <c r="Q364" s="4">
        <v>0</v>
      </c>
      <c r="R364" s="5">
        <v>0.26569999999999999</v>
      </c>
      <c r="S364">
        <v>1</v>
      </c>
      <c r="T364" t="b">
        <v>0</v>
      </c>
      <c r="U364">
        <v>1</v>
      </c>
      <c r="V364" s="4">
        <v>34.51</v>
      </c>
    </row>
    <row r="365" spans="1:22" hidden="1" x14ac:dyDescent="0.35">
      <c r="A365" t="s">
        <v>21</v>
      </c>
      <c r="B365">
        <v>4</v>
      </c>
      <c r="C365">
        <v>5</v>
      </c>
      <c r="D365">
        <v>2</v>
      </c>
      <c r="E365" t="s">
        <v>22</v>
      </c>
      <c r="F365">
        <v>200</v>
      </c>
      <c r="G365">
        <v>3</v>
      </c>
      <c r="H365">
        <v>20</v>
      </c>
      <c r="I365" t="s">
        <v>26</v>
      </c>
      <c r="J365" s="3">
        <v>23.253898</v>
      </c>
      <c r="K365" s="3">
        <v>21555.964</v>
      </c>
      <c r="L365" s="3">
        <v>21555.964</v>
      </c>
      <c r="M365" s="3">
        <v>21555.964</v>
      </c>
      <c r="N365" s="3">
        <v>21555.964</v>
      </c>
      <c r="O365" s="4">
        <v>0</v>
      </c>
      <c r="P365" s="4">
        <v>0</v>
      </c>
      <c r="Q365" s="4">
        <v>0</v>
      </c>
      <c r="R365" s="5">
        <v>0.34289999999999998</v>
      </c>
      <c r="S365">
        <v>1</v>
      </c>
      <c r="T365" t="b">
        <v>0</v>
      </c>
      <c r="U365">
        <v>1</v>
      </c>
      <c r="V365" s="4">
        <v>104.7</v>
      </c>
    </row>
    <row r="366" spans="1:22" hidden="1" x14ac:dyDescent="0.35">
      <c r="A366" t="s">
        <v>21</v>
      </c>
      <c r="B366">
        <v>4</v>
      </c>
      <c r="C366">
        <v>5</v>
      </c>
      <c r="D366">
        <v>2</v>
      </c>
      <c r="E366" t="s">
        <v>25</v>
      </c>
      <c r="F366">
        <v>50</v>
      </c>
      <c r="G366">
        <v>1</v>
      </c>
      <c r="H366">
        <v>20</v>
      </c>
      <c r="I366" t="s">
        <v>26</v>
      </c>
      <c r="J366" s="3">
        <v>222.21440999999999</v>
      </c>
      <c r="K366" s="3" t="s">
        <v>24</v>
      </c>
      <c r="L366" s="3" t="s">
        <v>24</v>
      </c>
      <c r="M366" s="3" t="s">
        <v>24</v>
      </c>
      <c r="N366" s="3">
        <v>21555.964</v>
      </c>
      <c r="O366" s="4"/>
      <c r="P366" s="4"/>
      <c r="Q366" s="4"/>
      <c r="R366" s="5">
        <v>0</v>
      </c>
      <c r="S366">
        <v>0</v>
      </c>
      <c r="T366" t="b">
        <v>1</v>
      </c>
      <c r="U366">
        <v>-1</v>
      </c>
      <c r="V366" s="4">
        <v>5.65</v>
      </c>
    </row>
    <row r="367" spans="1:22" hidden="1" x14ac:dyDescent="0.35">
      <c r="A367" t="s">
        <v>21</v>
      </c>
      <c r="B367">
        <v>4</v>
      </c>
      <c r="C367">
        <v>5</v>
      </c>
      <c r="D367">
        <v>2</v>
      </c>
      <c r="E367" t="s">
        <v>25</v>
      </c>
      <c r="F367">
        <v>50</v>
      </c>
      <c r="G367">
        <v>3</v>
      </c>
      <c r="H367">
        <v>20</v>
      </c>
      <c r="I367" t="s">
        <v>26</v>
      </c>
      <c r="J367" s="3">
        <v>214.15258600000001</v>
      </c>
      <c r="K367" s="3">
        <v>21555.964</v>
      </c>
      <c r="L367" s="3">
        <v>21555.964</v>
      </c>
      <c r="M367" s="3">
        <v>21555.964</v>
      </c>
      <c r="N367" s="3">
        <v>21555.964</v>
      </c>
      <c r="O367" s="4">
        <v>0</v>
      </c>
      <c r="P367" s="4">
        <v>0</v>
      </c>
      <c r="Q367" s="4">
        <v>0</v>
      </c>
      <c r="R367" s="5">
        <v>4.0000000000000002E-4</v>
      </c>
      <c r="S367">
        <v>1</v>
      </c>
      <c r="T367" t="b">
        <v>0</v>
      </c>
      <c r="U367">
        <v>1</v>
      </c>
      <c r="V367" s="4">
        <v>15.2</v>
      </c>
    </row>
    <row r="368" spans="1:22" hidden="1" x14ac:dyDescent="0.35">
      <c r="A368" t="s">
        <v>21</v>
      </c>
      <c r="B368">
        <v>4</v>
      </c>
      <c r="C368">
        <v>5</v>
      </c>
      <c r="D368">
        <v>2</v>
      </c>
      <c r="E368" t="s">
        <v>25</v>
      </c>
      <c r="F368">
        <v>200</v>
      </c>
      <c r="G368">
        <v>1</v>
      </c>
      <c r="H368">
        <v>20</v>
      </c>
      <c r="I368" t="s">
        <v>26</v>
      </c>
      <c r="J368" s="3">
        <v>222.21440999999999</v>
      </c>
      <c r="K368" s="3" t="s">
        <v>24</v>
      </c>
      <c r="L368" s="3" t="s">
        <v>24</v>
      </c>
      <c r="M368" s="3" t="s">
        <v>24</v>
      </c>
      <c r="N368" s="3">
        <v>21555.964</v>
      </c>
      <c r="O368" s="4"/>
      <c r="P368" s="4"/>
      <c r="Q368" s="4"/>
      <c r="R368" s="5">
        <v>0</v>
      </c>
      <c r="S368">
        <v>0</v>
      </c>
      <c r="T368" t="b">
        <v>1</v>
      </c>
      <c r="U368">
        <v>-1</v>
      </c>
      <c r="V368" s="4">
        <v>5.58</v>
      </c>
    </row>
    <row r="369" spans="1:22" hidden="1" x14ac:dyDescent="0.35">
      <c r="A369" t="s">
        <v>21</v>
      </c>
      <c r="B369">
        <v>4</v>
      </c>
      <c r="C369">
        <v>5</v>
      </c>
      <c r="D369">
        <v>2</v>
      </c>
      <c r="E369" t="s">
        <v>25</v>
      </c>
      <c r="F369">
        <v>200</v>
      </c>
      <c r="G369">
        <v>3</v>
      </c>
      <c r="H369">
        <v>20</v>
      </c>
      <c r="I369" t="s">
        <v>26</v>
      </c>
      <c r="J369" s="3">
        <v>214.15258600000001</v>
      </c>
      <c r="K369" s="3">
        <v>21555.964</v>
      </c>
      <c r="L369" s="3">
        <v>21555.964</v>
      </c>
      <c r="M369" s="3">
        <v>21555.964</v>
      </c>
      <c r="N369" s="3">
        <v>21555.964</v>
      </c>
      <c r="O369" s="4">
        <v>0</v>
      </c>
      <c r="P369" s="4">
        <v>0</v>
      </c>
      <c r="Q369" s="4">
        <v>0</v>
      </c>
      <c r="R369" s="5">
        <v>4.0000000000000002E-4</v>
      </c>
      <c r="S369">
        <v>1</v>
      </c>
      <c r="T369" t="b">
        <v>0</v>
      </c>
      <c r="U369">
        <v>1</v>
      </c>
      <c r="V369" s="4">
        <v>15.53</v>
      </c>
    </row>
    <row r="370" spans="1:22" hidden="1" x14ac:dyDescent="0.35">
      <c r="A370" t="s">
        <v>21</v>
      </c>
      <c r="B370">
        <v>4</v>
      </c>
      <c r="C370">
        <v>5</v>
      </c>
      <c r="D370">
        <v>5</v>
      </c>
      <c r="E370" t="s">
        <v>22</v>
      </c>
      <c r="F370">
        <v>50</v>
      </c>
      <c r="G370">
        <v>1</v>
      </c>
      <c r="H370">
        <v>20</v>
      </c>
      <c r="I370" t="s">
        <v>26</v>
      </c>
      <c r="J370" s="3">
        <v>71.299936000000002</v>
      </c>
      <c r="K370" s="3">
        <v>21555.964</v>
      </c>
      <c r="L370" s="3">
        <v>21555.964</v>
      </c>
      <c r="M370" s="3">
        <v>21555.964</v>
      </c>
      <c r="N370" s="3">
        <v>21555.964</v>
      </c>
      <c r="O370" s="4">
        <v>0</v>
      </c>
      <c r="P370" s="4">
        <v>0</v>
      </c>
      <c r="Q370" s="4">
        <v>0</v>
      </c>
      <c r="R370" s="5">
        <v>0.246</v>
      </c>
      <c r="S370">
        <v>1</v>
      </c>
      <c r="T370" t="b">
        <v>0</v>
      </c>
      <c r="U370">
        <v>1</v>
      </c>
      <c r="V370" s="4">
        <v>19.29</v>
      </c>
    </row>
    <row r="371" spans="1:22" hidden="1" x14ac:dyDescent="0.35">
      <c r="A371" t="s">
        <v>21</v>
      </c>
      <c r="B371">
        <v>4</v>
      </c>
      <c r="C371">
        <v>5</v>
      </c>
      <c r="D371">
        <v>5</v>
      </c>
      <c r="E371" t="s">
        <v>22</v>
      </c>
      <c r="F371">
        <v>50</v>
      </c>
      <c r="G371">
        <v>3</v>
      </c>
      <c r="H371">
        <v>20</v>
      </c>
      <c r="I371" t="s">
        <v>26</v>
      </c>
      <c r="J371" s="3">
        <v>71.299936000000002</v>
      </c>
      <c r="K371" s="3">
        <v>21555.964</v>
      </c>
      <c r="L371" s="3">
        <v>21555.964</v>
      </c>
      <c r="M371" s="3">
        <v>21555.964</v>
      </c>
      <c r="N371" s="3">
        <v>21555.964</v>
      </c>
      <c r="O371" s="4">
        <v>0</v>
      </c>
      <c r="P371" s="4">
        <v>0</v>
      </c>
      <c r="Q371" s="4">
        <v>0</v>
      </c>
      <c r="R371" s="5">
        <v>0.246</v>
      </c>
      <c r="S371">
        <v>1</v>
      </c>
      <c r="T371" t="b">
        <v>0</v>
      </c>
      <c r="U371">
        <v>1</v>
      </c>
      <c r="V371" s="4">
        <v>60.31</v>
      </c>
    </row>
    <row r="372" spans="1:22" hidden="1" x14ac:dyDescent="0.35">
      <c r="A372" t="s">
        <v>21</v>
      </c>
      <c r="B372">
        <v>4</v>
      </c>
      <c r="C372">
        <v>5</v>
      </c>
      <c r="D372">
        <v>5</v>
      </c>
      <c r="E372" t="s">
        <v>22</v>
      </c>
      <c r="F372">
        <v>200</v>
      </c>
      <c r="G372">
        <v>1</v>
      </c>
      <c r="H372">
        <v>20</v>
      </c>
      <c r="I372" t="s">
        <v>26</v>
      </c>
      <c r="J372" s="3">
        <v>60.801659000000001</v>
      </c>
      <c r="K372" s="3">
        <v>21555.964</v>
      </c>
      <c r="L372" s="3">
        <v>21555.964</v>
      </c>
      <c r="M372" s="3">
        <v>21555.964</v>
      </c>
      <c r="N372" s="3">
        <v>21555.964</v>
      </c>
      <c r="O372" s="4">
        <v>0</v>
      </c>
      <c r="P372" s="4">
        <v>0</v>
      </c>
      <c r="Q372" s="4">
        <v>0</v>
      </c>
      <c r="R372" s="5">
        <v>0.25169999999999998</v>
      </c>
      <c r="S372">
        <v>1</v>
      </c>
      <c r="T372" t="b">
        <v>0</v>
      </c>
      <c r="U372">
        <v>1</v>
      </c>
      <c r="V372" s="4">
        <v>35.79</v>
      </c>
    </row>
    <row r="373" spans="1:22" hidden="1" x14ac:dyDescent="0.35">
      <c r="A373" t="s">
        <v>21</v>
      </c>
      <c r="B373">
        <v>4</v>
      </c>
      <c r="C373">
        <v>5</v>
      </c>
      <c r="D373">
        <v>5</v>
      </c>
      <c r="E373" t="s">
        <v>22</v>
      </c>
      <c r="F373">
        <v>200</v>
      </c>
      <c r="G373">
        <v>3</v>
      </c>
      <c r="H373">
        <v>20</v>
      </c>
      <c r="I373" t="s">
        <v>26</v>
      </c>
      <c r="J373" s="3">
        <v>60.801659000000001</v>
      </c>
      <c r="K373" s="3">
        <v>21555.964</v>
      </c>
      <c r="L373" s="3">
        <v>21555.964</v>
      </c>
      <c r="M373" s="3">
        <v>21555.964</v>
      </c>
      <c r="N373" s="3">
        <v>21555.964</v>
      </c>
      <c r="O373" s="4">
        <v>0</v>
      </c>
      <c r="P373" s="4">
        <v>0</v>
      </c>
      <c r="Q373" s="4">
        <v>0</v>
      </c>
      <c r="R373" s="5">
        <v>0.25169999999999998</v>
      </c>
      <c r="S373">
        <v>1</v>
      </c>
      <c r="T373" t="b">
        <v>0</v>
      </c>
      <c r="U373">
        <v>1</v>
      </c>
      <c r="V373" s="4">
        <v>119.98</v>
      </c>
    </row>
    <row r="374" spans="1:22" hidden="1" x14ac:dyDescent="0.35">
      <c r="A374" t="s">
        <v>21</v>
      </c>
      <c r="B374">
        <v>4</v>
      </c>
      <c r="C374">
        <v>5</v>
      </c>
      <c r="D374">
        <v>5</v>
      </c>
      <c r="E374" t="s">
        <v>25</v>
      </c>
      <c r="F374">
        <v>50</v>
      </c>
      <c r="G374">
        <v>1</v>
      </c>
      <c r="H374">
        <v>20</v>
      </c>
      <c r="I374" t="s">
        <v>26</v>
      </c>
      <c r="J374" s="3">
        <v>534.26473199999998</v>
      </c>
      <c r="K374" s="3" t="s">
        <v>24</v>
      </c>
      <c r="L374" s="3" t="s">
        <v>24</v>
      </c>
      <c r="M374" s="3" t="s">
        <v>24</v>
      </c>
      <c r="N374" s="3">
        <v>21555.964</v>
      </c>
      <c r="O374" s="4"/>
      <c r="P374" s="4"/>
      <c r="Q374" s="4"/>
      <c r="R374" s="5">
        <v>0</v>
      </c>
      <c r="S374">
        <v>0</v>
      </c>
      <c r="T374" t="b">
        <v>1</v>
      </c>
      <c r="U374">
        <v>-1</v>
      </c>
      <c r="V374" s="4">
        <v>5.73</v>
      </c>
    </row>
    <row r="375" spans="1:22" hidden="1" x14ac:dyDescent="0.35">
      <c r="A375" t="s">
        <v>21</v>
      </c>
      <c r="B375">
        <v>4</v>
      </c>
      <c r="C375">
        <v>5</v>
      </c>
      <c r="D375">
        <v>5</v>
      </c>
      <c r="E375" t="s">
        <v>25</v>
      </c>
      <c r="F375">
        <v>50</v>
      </c>
      <c r="G375">
        <v>3</v>
      </c>
      <c r="H375">
        <v>20</v>
      </c>
      <c r="I375" t="s">
        <v>26</v>
      </c>
      <c r="J375" s="3">
        <v>532.59208599999999</v>
      </c>
      <c r="K375" s="3" t="s">
        <v>24</v>
      </c>
      <c r="L375" s="3" t="s">
        <v>24</v>
      </c>
      <c r="M375" s="3" t="s">
        <v>24</v>
      </c>
      <c r="N375" s="3">
        <v>21555.964</v>
      </c>
      <c r="O375" s="4"/>
      <c r="P375" s="4"/>
      <c r="Q375" s="4"/>
      <c r="R375" s="5">
        <v>0</v>
      </c>
      <c r="S375">
        <v>0</v>
      </c>
      <c r="T375" t="b">
        <v>1</v>
      </c>
      <c r="U375">
        <v>-1</v>
      </c>
      <c r="V375" s="4">
        <v>15.64</v>
      </c>
    </row>
    <row r="376" spans="1:22" hidden="1" x14ac:dyDescent="0.35">
      <c r="A376" t="s">
        <v>21</v>
      </c>
      <c r="B376">
        <v>4</v>
      </c>
      <c r="C376">
        <v>5</v>
      </c>
      <c r="D376">
        <v>5</v>
      </c>
      <c r="E376" t="s">
        <v>25</v>
      </c>
      <c r="F376">
        <v>200</v>
      </c>
      <c r="G376">
        <v>1</v>
      </c>
      <c r="H376">
        <v>20</v>
      </c>
      <c r="I376" t="s">
        <v>26</v>
      </c>
      <c r="J376" s="3">
        <v>534.26473199999998</v>
      </c>
      <c r="K376" s="3" t="s">
        <v>24</v>
      </c>
      <c r="L376" s="3" t="s">
        <v>24</v>
      </c>
      <c r="M376" s="3" t="s">
        <v>24</v>
      </c>
      <c r="N376" s="3">
        <v>21555.964</v>
      </c>
      <c r="O376" s="4"/>
      <c r="P376" s="4"/>
      <c r="Q376" s="4"/>
      <c r="R376" s="5">
        <v>0</v>
      </c>
      <c r="S376">
        <v>0</v>
      </c>
      <c r="T376" t="b">
        <v>1</v>
      </c>
      <c r="U376">
        <v>-1</v>
      </c>
      <c r="V376" s="4">
        <v>5.64</v>
      </c>
    </row>
    <row r="377" spans="1:22" hidden="1" x14ac:dyDescent="0.35">
      <c r="A377" t="s">
        <v>21</v>
      </c>
      <c r="B377">
        <v>4</v>
      </c>
      <c r="C377">
        <v>5</v>
      </c>
      <c r="D377">
        <v>5</v>
      </c>
      <c r="E377" t="s">
        <v>25</v>
      </c>
      <c r="F377">
        <v>200</v>
      </c>
      <c r="G377">
        <v>3</v>
      </c>
      <c r="H377">
        <v>20</v>
      </c>
      <c r="I377" t="s">
        <v>26</v>
      </c>
      <c r="J377" s="3">
        <v>532.59208599999999</v>
      </c>
      <c r="K377" s="3" t="s">
        <v>24</v>
      </c>
      <c r="L377" s="3" t="s">
        <v>24</v>
      </c>
      <c r="M377" s="3" t="s">
        <v>24</v>
      </c>
      <c r="N377" s="3">
        <v>21555.964</v>
      </c>
      <c r="O377" s="4"/>
      <c r="P377" s="4"/>
      <c r="Q377" s="4"/>
      <c r="R377" s="5">
        <v>0</v>
      </c>
      <c r="S377">
        <v>0</v>
      </c>
      <c r="T377" t="b">
        <v>1</v>
      </c>
      <c r="U377">
        <v>-1</v>
      </c>
      <c r="V377" s="4">
        <v>15.82</v>
      </c>
    </row>
    <row r="378" spans="1:22" hidden="1" x14ac:dyDescent="0.35">
      <c r="A378" t="s">
        <v>21</v>
      </c>
      <c r="B378">
        <v>4</v>
      </c>
      <c r="C378">
        <v>5</v>
      </c>
      <c r="D378">
        <v>10</v>
      </c>
      <c r="E378" t="s">
        <v>22</v>
      </c>
      <c r="F378">
        <v>50</v>
      </c>
      <c r="G378">
        <v>1</v>
      </c>
      <c r="H378">
        <v>20</v>
      </c>
      <c r="I378" t="s">
        <v>26</v>
      </c>
      <c r="J378" s="3">
        <v>113.17594699999999</v>
      </c>
      <c r="K378" s="3">
        <v>21555.964</v>
      </c>
      <c r="L378" s="3">
        <v>21555.964</v>
      </c>
      <c r="M378" s="3">
        <v>21555.964</v>
      </c>
      <c r="N378" s="3">
        <v>21555.964</v>
      </c>
      <c r="O378" s="4">
        <v>0</v>
      </c>
      <c r="P378" s="4">
        <v>0</v>
      </c>
      <c r="Q378" s="4">
        <v>0</v>
      </c>
      <c r="R378" s="5">
        <v>0.2571</v>
      </c>
      <c r="S378">
        <v>1</v>
      </c>
      <c r="T378" t="b">
        <v>0</v>
      </c>
      <c r="U378">
        <v>1</v>
      </c>
      <c r="V378" s="4">
        <v>19.54</v>
      </c>
    </row>
    <row r="379" spans="1:22" hidden="1" x14ac:dyDescent="0.35">
      <c r="A379" t="s">
        <v>21</v>
      </c>
      <c r="B379">
        <v>4</v>
      </c>
      <c r="C379">
        <v>5</v>
      </c>
      <c r="D379">
        <v>10</v>
      </c>
      <c r="E379" t="s">
        <v>22</v>
      </c>
      <c r="F379">
        <v>50</v>
      </c>
      <c r="G379">
        <v>3</v>
      </c>
      <c r="H379">
        <v>20</v>
      </c>
      <c r="I379" t="s">
        <v>26</v>
      </c>
      <c r="J379" s="3">
        <v>113.17594699999999</v>
      </c>
      <c r="K379" s="3">
        <v>21555.964</v>
      </c>
      <c r="L379" s="3">
        <v>21555.964</v>
      </c>
      <c r="M379" s="3">
        <v>21555.964</v>
      </c>
      <c r="N379" s="3">
        <v>21555.964</v>
      </c>
      <c r="O379" s="4">
        <v>0</v>
      </c>
      <c r="P379" s="4">
        <v>0</v>
      </c>
      <c r="Q379" s="4">
        <v>0</v>
      </c>
      <c r="R379" s="5">
        <v>0.2571</v>
      </c>
      <c r="S379">
        <v>1</v>
      </c>
      <c r="T379" t="b">
        <v>0</v>
      </c>
      <c r="U379">
        <v>1</v>
      </c>
      <c r="V379" s="4">
        <v>61.67</v>
      </c>
    </row>
    <row r="380" spans="1:22" hidden="1" x14ac:dyDescent="0.35">
      <c r="A380" t="s">
        <v>21</v>
      </c>
      <c r="B380">
        <v>4</v>
      </c>
      <c r="C380">
        <v>5</v>
      </c>
      <c r="D380">
        <v>10</v>
      </c>
      <c r="E380" t="s">
        <v>22</v>
      </c>
      <c r="F380">
        <v>200</v>
      </c>
      <c r="G380">
        <v>1</v>
      </c>
      <c r="H380">
        <v>20</v>
      </c>
      <c r="I380" t="s">
        <v>26</v>
      </c>
      <c r="J380" s="3">
        <v>112.533124</v>
      </c>
      <c r="K380" s="3">
        <v>21555.964</v>
      </c>
      <c r="L380" s="3">
        <v>21555.964</v>
      </c>
      <c r="M380" s="3">
        <v>21555.964</v>
      </c>
      <c r="N380" s="3">
        <v>21555.964</v>
      </c>
      <c r="O380" s="4">
        <v>0</v>
      </c>
      <c r="P380" s="4">
        <v>0</v>
      </c>
      <c r="Q380" s="4">
        <v>0</v>
      </c>
      <c r="R380" s="5">
        <v>0.25850000000000001</v>
      </c>
      <c r="S380">
        <v>1</v>
      </c>
      <c r="T380" t="b">
        <v>0</v>
      </c>
      <c r="U380">
        <v>1</v>
      </c>
      <c r="V380" s="4">
        <v>31.38</v>
      </c>
    </row>
    <row r="381" spans="1:22" hidden="1" x14ac:dyDescent="0.35">
      <c r="A381" t="s">
        <v>21</v>
      </c>
      <c r="B381">
        <v>4</v>
      </c>
      <c r="C381">
        <v>5</v>
      </c>
      <c r="D381">
        <v>10</v>
      </c>
      <c r="E381" t="s">
        <v>22</v>
      </c>
      <c r="F381">
        <v>200</v>
      </c>
      <c r="G381">
        <v>3</v>
      </c>
      <c r="H381">
        <v>20</v>
      </c>
      <c r="I381" t="s">
        <v>26</v>
      </c>
      <c r="J381" s="3">
        <v>112.533124</v>
      </c>
      <c r="K381" s="3">
        <v>21555.964</v>
      </c>
      <c r="L381" s="3">
        <v>21555.964</v>
      </c>
      <c r="M381" s="3">
        <v>21555.964</v>
      </c>
      <c r="N381" s="3">
        <v>21555.964</v>
      </c>
      <c r="O381" s="4">
        <v>0</v>
      </c>
      <c r="P381" s="4">
        <v>0</v>
      </c>
      <c r="Q381" s="4">
        <v>0</v>
      </c>
      <c r="R381" s="5">
        <v>0.25850000000000001</v>
      </c>
      <c r="S381">
        <v>1</v>
      </c>
      <c r="T381" t="b">
        <v>0</v>
      </c>
      <c r="U381">
        <v>1</v>
      </c>
      <c r="V381" s="4">
        <v>135.27000000000001</v>
      </c>
    </row>
    <row r="382" spans="1:22" hidden="1" x14ac:dyDescent="0.35">
      <c r="A382" t="s">
        <v>21</v>
      </c>
      <c r="B382">
        <v>4</v>
      </c>
      <c r="C382">
        <v>5</v>
      </c>
      <c r="D382">
        <v>10</v>
      </c>
      <c r="E382" t="s">
        <v>25</v>
      </c>
      <c r="F382">
        <v>50</v>
      </c>
      <c r="G382">
        <v>1</v>
      </c>
      <c r="H382">
        <v>20</v>
      </c>
      <c r="I382" t="s">
        <v>26</v>
      </c>
      <c r="J382" s="3">
        <v>1071.302674</v>
      </c>
      <c r="K382" s="3" t="s">
        <v>24</v>
      </c>
      <c r="L382" s="3" t="s">
        <v>24</v>
      </c>
      <c r="M382" s="3" t="s">
        <v>24</v>
      </c>
      <c r="N382" s="3">
        <v>21555.964</v>
      </c>
      <c r="O382" s="4"/>
      <c r="P382" s="4"/>
      <c r="Q382" s="4"/>
      <c r="R382" s="5">
        <v>0</v>
      </c>
      <c r="S382">
        <v>0</v>
      </c>
      <c r="T382" t="b">
        <v>1</v>
      </c>
      <c r="U382">
        <v>-1</v>
      </c>
      <c r="V382" s="4">
        <v>5.56</v>
      </c>
    </row>
    <row r="383" spans="1:22" hidden="1" x14ac:dyDescent="0.35">
      <c r="A383" t="s">
        <v>21</v>
      </c>
      <c r="B383">
        <v>4</v>
      </c>
      <c r="C383">
        <v>5</v>
      </c>
      <c r="D383">
        <v>10</v>
      </c>
      <c r="E383" t="s">
        <v>25</v>
      </c>
      <c r="F383">
        <v>50</v>
      </c>
      <c r="G383">
        <v>3</v>
      </c>
      <c r="H383">
        <v>20</v>
      </c>
      <c r="I383" t="s">
        <v>26</v>
      </c>
      <c r="J383" s="3">
        <v>1067.70308</v>
      </c>
      <c r="K383" s="3">
        <v>21555.964</v>
      </c>
      <c r="L383" s="3">
        <v>21555.964</v>
      </c>
      <c r="M383" s="3">
        <v>21555.964</v>
      </c>
      <c r="N383" s="3">
        <v>21555.964</v>
      </c>
      <c r="O383" s="4">
        <v>0</v>
      </c>
      <c r="P383" s="4">
        <v>0</v>
      </c>
      <c r="Q383" s="4">
        <v>0</v>
      </c>
      <c r="R383" s="5">
        <v>4.0000000000000002E-4</v>
      </c>
      <c r="S383">
        <v>1</v>
      </c>
      <c r="T383" t="b">
        <v>0</v>
      </c>
      <c r="U383">
        <v>1</v>
      </c>
      <c r="V383" s="4">
        <v>15.72</v>
      </c>
    </row>
    <row r="384" spans="1:22" hidden="1" x14ac:dyDescent="0.35">
      <c r="A384" t="s">
        <v>21</v>
      </c>
      <c r="B384">
        <v>4</v>
      </c>
      <c r="C384">
        <v>5</v>
      </c>
      <c r="D384">
        <v>10</v>
      </c>
      <c r="E384" t="s">
        <v>25</v>
      </c>
      <c r="F384">
        <v>200</v>
      </c>
      <c r="G384">
        <v>1</v>
      </c>
      <c r="H384">
        <v>20</v>
      </c>
      <c r="I384" t="s">
        <v>26</v>
      </c>
      <c r="J384" s="3">
        <v>1071.302674</v>
      </c>
      <c r="K384" s="3" t="s">
        <v>24</v>
      </c>
      <c r="L384" s="3" t="s">
        <v>24</v>
      </c>
      <c r="M384" s="3" t="s">
        <v>24</v>
      </c>
      <c r="N384" s="3">
        <v>21555.964</v>
      </c>
      <c r="O384" s="4"/>
      <c r="P384" s="4"/>
      <c r="Q384" s="4"/>
      <c r="R384" s="5">
        <v>0</v>
      </c>
      <c r="S384">
        <v>0</v>
      </c>
      <c r="T384" t="b">
        <v>1</v>
      </c>
      <c r="U384">
        <v>-1</v>
      </c>
      <c r="V384" s="4">
        <v>5.53</v>
      </c>
    </row>
    <row r="385" spans="1:22" hidden="1" x14ac:dyDescent="0.35">
      <c r="A385" t="s">
        <v>21</v>
      </c>
      <c r="B385">
        <v>4</v>
      </c>
      <c r="C385">
        <v>5</v>
      </c>
      <c r="D385">
        <v>10</v>
      </c>
      <c r="E385" t="s">
        <v>25</v>
      </c>
      <c r="F385">
        <v>200</v>
      </c>
      <c r="G385">
        <v>3</v>
      </c>
      <c r="H385">
        <v>20</v>
      </c>
      <c r="I385" t="s">
        <v>26</v>
      </c>
      <c r="J385" s="3">
        <v>1067.70308</v>
      </c>
      <c r="K385" s="3">
        <v>21555.964</v>
      </c>
      <c r="L385" s="3">
        <v>21555.964</v>
      </c>
      <c r="M385" s="3">
        <v>21555.964</v>
      </c>
      <c r="N385" s="3">
        <v>21555.964</v>
      </c>
      <c r="O385" s="4">
        <v>0</v>
      </c>
      <c r="P385" s="4">
        <v>0</v>
      </c>
      <c r="Q385" s="4">
        <v>0</v>
      </c>
      <c r="R385" s="5">
        <v>4.0000000000000002E-4</v>
      </c>
      <c r="S385">
        <v>1</v>
      </c>
      <c r="T385" t="b">
        <v>0</v>
      </c>
      <c r="U385">
        <v>1</v>
      </c>
      <c r="V385" s="4">
        <v>15.29</v>
      </c>
    </row>
    <row r="386" spans="1:22" hidden="1" x14ac:dyDescent="0.35">
      <c r="A386" t="s">
        <v>27</v>
      </c>
      <c r="B386">
        <v>1</v>
      </c>
      <c r="C386">
        <v>1</v>
      </c>
      <c r="D386">
        <v>2</v>
      </c>
      <c r="E386" t="s">
        <v>22</v>
      </c>
      <c r="F386">
        <v>50</v>
      </c>
      <c r="G386">
        <v>1</v>
      </c>
      <c r="H386">
        <v>16</v>
      </c>
      <c r="I386" t="s">
        <v>23</v>
      </c>
      <c r="J386" s="3">
        <v>128.81761800000001</v>
      </c>
      <c r="K386" s="3">
        <v>17499.967000000001</v>
      </c>
      <c r="L386" s="3">
        <v>21620.526999999998</v>
      </c>
      <c r="M386" s="3">
        <v>17499.967000000001</v>
      </c>
      <c r="N386" s="3">
        <v>17499.967000000001</v>
      </c>
      <c r="O386" s="4">
        <v>0</v>
      </c>
      <c r="P386" s="4">
        <v>23.546099999999999</v>
      </c>
      <c r="Q386" s="4">
        <v>0</v>
      </c>
      <c r="R386" s="5">
        <v>4.1999999999999997E-3</v>
      </c>
      <c r="S386">
        <v>18</v>
      </c>
      <c r="T386" t="b">
        <v>0</v>
      </c>
      <c r="U386">
        <v>15</v>
      </c>
      <c r="V386" s="4">
        <v>5.37</v>
      </c>
    </row>
    <row r="387" spans="1:22" hidden="1" x14ac:dyDescent="0.35">
      <c r="A387" t="s">
        <v>27</v>
      </c>
      <c r="B387">
        <v>1</v>
      </c>
      <c r="C387">
        <v>1</v>
      </c>
      <c r="D387">
        <v>2</v>
      </c>
      <c r="E387" t="s">
        <v>22</v>
      </c>
      <c r="F387">
        <v>50</v>
      </c>
      <c r="G387">
        <v>3</v>
      </c>
      <c r="H387">
        <v>16</v>
      </c>
      <c r="I387" t="s">
        <v>23</v>
      </c>
      <c r="J387" s="3">
        <v>37.151252999999997</v>
      </c>
      <c r="K387" s="3">
        <v>17787.576000000001</v>
      </c>
      <c r="L387" s="3">
        <v>21847.333999999999</v>
      </c>
      <c r="M387" s="3">
        <v>17499.967000000001</v>
      </c>
      <c r="N387" s="3">
        <v>17499.967000000001</v>
      </c>
      <c r="O387" s="4">
        <v>1.6435</v>
      </c>
      <c r="P387" s="4">
        <v>24.842099999999999</v>
      </c>
      <c r="Q387" s="4">
        <v>0</v>
      </c>
      <c r="R387" s="5">
        <v>3.8100000000000002E-2</v>
      </c>
      <c r="S387">
        <v>24</v>
      </c>
      <c r="T387" t="b">
        <v>0</v>
      </c>
      <c r="U387">
        <v>19</v>
      </c>
      <c r="V387" s="4">
        <v>17.09</v>
      </c>
    </row>
    <row r="388" spans="1:22" hidden="1" x14ac:dyDescent="0.35">
      <c r="A388" t="s">
        <v>27</v>
      </c>
      <c r="B388">
        <v>1</v>
      </c>
      <c r="C388">
        <v>1</v>
      </c>
      <c r="D388">
        <v>2</v>
      </c>
      <c r="E388" t="s">
        <v>22</v>
      </c>
      <c r="F388">
        <v>200</v>
      </c>
      <c r="G388">
        <v>1</v>
      </c>
      <c r="H388">
        <v>16</v>
      </c>
      <c r="I388" t="s">
        <v>23</v>
      </c>
      <c r="J388" s="3">
        <v>128.81761800000001</v>
      </c>
      <c r="K388" s="3">
        <v>17499.967000000001</v>
      </c>
      <c r="L388" s="3">
        <v>21620.526999999998</v>
      </c>
      <c r="M388" s="3">
        <v>17499.967000000001</v>
      </c>
      <c r="N388" s="3">
        <v>17499.967000000001</v>
      </c>
      <c r="O388" s="4">
        <v>0</v>
      </c>
      <c r="P388" s="4">
        <v>23.546099999999999</v>
      </c>
      <c r="Q388" s="4">
        <v>0</v>
      </c>
      <c r="R388" s="5">
        <v>4.1999999999999997E-3</v>
      </c>
      <c r="S388">
        <v>18</v>
      </c>
      <c r="T388" t="b">
        <v>0</v>
      </c>
      <c r="U388">
        <v>15</v>
      </c>
      <c r="V388" s="4">
        <v>5.39</v>
      </c>
    </row>
    <row r="389" spans="1:22" hidden="1" x14ac:dyDescent="0.35">
      <c r="A389" t="s">
        <v>27</v>
      </c>
      <c r="B389">
        <v>1</v>
      </c>
      <c r="C389">
        <v>1</v>
      </c>
      <c r="D389">
        <v>2</v>
      </c>
      <c r="E389" t="s">
        <v>22</v>
      </c>
      <c r="F389">
        <v>200</v>
      </c>
      <c r="G389">
        <v>3</v>
      </c>
      <c r="H389">
        <v>16</v>
      </c>
      <c r="I389" t="s">
        <v>23</v>
      </c>
      <c r="J389" s="3">
        <v>37.151252999999997</v>
      </c>
      <c r="K389" s="3">
        <v>17787.576000000001</v>
      </c>
      <c r="L389" s="3">
        <v>21847.333999999999</v>
      </c>
      <c r="M389" s="3">
        <v>17499.967000000001</v>
      </c>
      <c r="N389" s="3">
        <v>17499.967000000001</v>
      </c>
      <c r="O389" s="4">
        <v>1.6435</v>
      </c>
      <c r="P389" s="4">
        <v>24.842099999999999</v>
      </c>
      <c r="Q389" s="4">
        <v>0</v>
      </c>
      <c r="R389" s="5">
        <v>3.8100000000000002E-2</v>
      </c>
      <c r="S389">
        <v>24</v>
      </c>
      <c r="T389" t="b">
        <v>0</v>
      </c>
      <c r="U389">
        <v>19</v>
      </c>
      <c r="V389" s="4">
        <v>17.05</v>
      </c>
    </row>
    <row r="390" spans="1:22" hidden="1" x14ac:dyDescent="0.35">
      <c r="A390" t="s">
        <v>27</v>
      </c>
      <c r="B390">
        <v>1</v>
      </c>
      <c r="C390">
        <v>1</v>
      </c>
      <c r="D390">
        <v>2</v>
      </c>
      <c r="E390" t="s">
        <v>25</v>
      </c>
      <c r="F390">
        <v>50</v>
      </c>
      <c r="G390">
        <v>1</v>
      </c>
      <c r="H390">
        <v>16</v>
      </c>
      <c r="I390" t="s">
        <v>23</v>
      </c>
      <c r="J390" s="3">
        <v>137.47786500000001</v>
      </c>
      <c r="K390" s="3">
        <v>17499.967000000001</v>
      </c>
      <c r="L390" s="3">
        <v>17560.769</v>
      </c>
      <c r="M390" s="3">
        <v>17499.967000000001</v>
      </c>
      <c r="N390" s="3">
        <v>17499.967000000001</v>
      </c>
      <c r="O390" s="4">
        <v>0</v>
      </c>
      <c r="P390" s="4">
        <v>0.34739999999999999</v>
      </c>
      <c r="Q390" s="4">
        <v>0</v>
      </c>
      <c r="R390" s="5">
        <v>5.9999999999999995E-4</v>
      </c>
      <c r="S390">
        <v>5</v>
      </c>
      <c r="T390" t="b">
        <v>0</v>
      </c>
      <c r="U390">
        <v>2</v>
      </c>
      <c r="V390" s="4">
        <v>1.04</v>
      </c>
    </row>
    <row r="391" spans="1:22" hidden="1" x14ac:dyDescent="0.35">
      <c r="A391" t="s">
        <v>27</v>
      </c>
      <c r="B391">
        <v>1</v>
      </c>
      <c r="C391">
        <v>1</v>
      </c>
      <c r="D391">
        <v>2</v>
      </c>
      <c r="E391" t="s">
        <v>25</v>
      </c>
      <c r="F391">
        <v>50</v>
      </c>
      <c r="G391">
        <v>3</v>
      </c>
      <c r="H391">
        <v>16</v>
      </c>
      <c r="I391" t="s">
        <v>23</v>
      </c>
      <c r="J391" s="3">
        <v>132.654596</v>
      </c>
      <c r="K391" s="3" t="s">
        <v>24</v>
      </c>
      <c r="L391" s="3" t="s">
        <v>24</v>
      </c>
      <c r="M391" s="3" t="s">
        <v>24</v>
      </c>
      <c r="N391" s="3">
        <v>17499.967000000001</v>
      </c>
      <c r="O391" s="4"/>
      <c r="P391" s="4"/>
      <c r="Q391" s="4"/>
      <c r="R391" s="5">
        <v>0</v>
      </c>
      <c r="S391">
        <v>0</v>
      </c>
      <c r="T391" t="b">
        <v>1</v>
      </c>
      <c r="U391">
        <v>-1</v>
      </c>
      <c r="V391" s="4">
        <v>2.31</v>
      </c>
    </row>
    <row r="392" spans="1:22" hidden="1" x14ac:dyDescent="0.35">
      <c r="A392" t="s">
        <v>27</v>
      </c>
      <c r="B392">
        <v>1</v>
      </c>
      <c r="C392">
        <v>1</v>
      </c>
      <c r="D392">
        <v>2</v>
      </c>
      <c r="E392" t="s">
        <v>25</v>
      </c>
      <c r="F392">
        <v>200</v>
      </c>
      <c r="G392">
        <v>1</v>
      </c>
      <c r="H392">
        <v>16</v>
      </c>
      <c r="I392" t="s">
        <v>23</v>
      </c>
      <c r="J392" s="3">
        <v>137.47786500000001</v>
      </c>
      <c r="K392" s="3">
        <v>17499.967000000001</v>
      </c>
      <c r="L392" s="3">
        <v>17560.769</v>
      </c>
      <c r="M392" s="3">
        <v>17499.967000000001</v>
      </c>
      <c r="N392" s="3">
        <v>17499.967000000001</v>
      </c>
      <c r="O392" s="4">
        <v>0</v>
      </c>
      <c r="P392" s="4">
        <v>0.34739999999999999</v>
      </c>
      <c r="Q392" s="4">
        <v>0</v>
      </c>
      <c r="R392" s="5">
        <v>5.9999999999999995E-4</v>
      </c>
      <c r="S392">
        <v>5</v>
      </c>
      <c r="T392" t="b">
        <v>0</v>
      </c>
      <c r="U392">
        <v>2</v>
      </c>
      <c r="V392" s="4">
        <v>1.01</v>
      </c>
    </row>
    <row r="393" spans="1:22" hidden="1" x14ac:dyDescent="0.35">
      <c r="A393" t="s">
        <v>27</v>
      </c>
      <c r="B393">
        <v>1</v>
      </c>
      <c r="C393">
        <v>1</v>
      </c>
      <c r="D393">
        <v>2</v>
      </c>
      <c r="E393" t="s">
        <v>25</v>
      </c>
      <c r="F393">
        <v>200</v>
      </c>
      <c r="G393">
        <v>3</v>
      </c>
      <c r="H393">
        <v>16</v>
      </c>
      <c r="I393" t="s">
        <v>23</v>
      </c>
      <c r="J393" s="3">
        <v>132.654596</v>
      </c>
      <c r="K393" s="3" t="s">
        <v>24</v>
      </c>
      <c r="L393" s="3" t="s">
        <v>24</v>
      </c>
      <c r="M393" s="3" t="s">
        <v>24</v>
      </c>
      <c r="N393" s="3">
        <v>17499.967000000001</v>
      </c>
      <c r="O393" s="4"/>
      <c r="P393" s="4"/>
      <c r="Q393" s="4"/>
      <c r="R393" s="5">
        <v>0</v>
      </c>
      <c r="S393">
        <v>0</v>
      </c>
      <c r="T393" t="b">
        <v>1</v>
      </c>
      <c r="U393">
        <v>-1</v>
      </c>
      <c r="V393" s="4">
        <v>2.34</v>
      </c>
    </row>
    <row r="394" spans="1:22" hidden="1" x14ac:dyDescent="0.35">
      <c r="A394" t="s">
        <v>27</v>
      </c>
      <c r="B394">
        <v>1</v>
      </c>
      <c r="C394">
        <v>1</v>
      </c>
      <c r="D394">
        <v>5</v>
      </c>
      <c r="E394" t="s">
        <v>22</v>
      </c>
      <c r="F394">
        <v>50</v>
      </c>
      <c r="G394">
        <v>1</v>
      </c>
      <c r="H394">
        <v>16</v>
      </c>
      <c r="I394" t="s">
        <v>23</v>
      </c>
      <c r="J394" s="3">
        <v>78.174857000000003</v>
      </c>
      <c r="K394" s="3">
        <v>17499.967000000001</v>
      </c>
      <c r="L394" s="3">
        <v>21443.097000000002</v>
      </c>
      <c r="M394" s="3">
        <v>17499.967000000001</v>
      </c>
      <c r="N394" s="3">
        <v>17499.967000000001</v>
      </c>
      <c r="O394" s="4">
        <v>0</v>
      </c>
      <c r="P394" s="4">
        <v>22.5322</v>
      </c>
      <c r="Q394" s="4">
        <v>0</v>
      </c>
      <c r="R394" s="5">
        <v>2.6100000000000002E-2</v>
      </c>
      <c r="S394">
        <v>24</v>
      </c>
      <c r="T394" t="b">
        <v>0</v>
      </c>
      <c r="U394">
        <v>22</v>
      </c>
      <c r="V394" s="4">
        <v>6.13</v>
      </c>
    </row>
    <row r="395" spans="1:22" hidden="1" x14ac:dyDescent="0.35">
      <c r="A395" t="s">
        <v>27</v>
      </c>
      <c r="B395">
        <v>1</v>
      </c>
      <c r="C395">
        <v>1</v>
      </c>
      <c r="D395">
        <v>5</v>
      </c>
      <c r="E395" t="s">
        <v>22</v>
      </c>
      <c r="F395">
        <v>50</v>
      </c>
      <c r="G395">
        <v>3</v>
      </c>
      <c r="H395">
        <v>16</v>
      </c>
      <c r="I395" t="s">
        <v>23</v>
      </c>
      <c r="J395" s="3">
        <v>78.174857000000003</v>
      </c>
      <c r="K395" s="3">
        <v>17499.967000000001</v>
      </c>
      <c r="L395" s="3">
        <v>21443.097000000002</v>
      </c>
      <c r="M395" s="3">
        <v>17499.967000000001</v>
      </c>
      <c r="N395" s="3">
        <v>17499.967000000001</v>
      </c>
      <c r="O395" s="4">
        <v>0</v>
      </c>
      <c r="P395" s="4">
        <v>22.5322</v>
      </c>
      <c r="Q395" s="4">
        <v>0</v>
      </c>
      <c r="R395" s="5">
        <v>2.6100000000000002E-2</v>
      </c>
      <c r="S395">
        <v>24</v>
      </c>
      <c r="T395" t="b">
        <v>0</v>
      </c>
      <c r="U395">
        <v>22</v>
      </c>
      <c r="V395" s="4">
        <v>16.309999999999999</v>
      </c>
    </row>
    <row r="396" spans="1:22" hidden="1" x14ac:dyDescent="0.35">
      <c r="A396" t="s">
        <v>27</v>
      </c>
      <c r="B396">
        <v>1</v>
      </c>
      <c r="C396">
        <v>1</v>
      </c>
      <c r="D396">
        <v>5</v>
      </c>
      <c r="E396" t="s">
        <v>22</v>
      </c>
      <c r="F396">
        <v>200</v>
      </c>
      <c r="G396">
        <v>1</v>
      </c>
      <c r="H396">
        <v>16</v>
      </c>
      <c r="I396" t="s">
        <v>23</v>
      </c>
      <c r="J396" s="3">
        <v>78.174857000000003</v>
      </c>
      <c r="K396" s="3">
        <v>17499.967000000001</v>
      </c>
      <c r="L396" s="3">
        <v>21443.097000000002</v>
      </c>
      <c r="M396" s="3">
        <v>17499.967000000001</v>
      </c>
      <c r="N396" s="3">
        <v>17499.967000000001</v>
      </c>
      <c r="O396" s="4">
        <v>0</v>
      </c>
      <c r="P396" s="4">
        <v>22.5322</v>
      </c>
      <c r="Q396" s="4">
        <v>0</v>
      </c>
      <c r="R396" s="5">
        <v>2.6100000000000002E-2</v>
      </c>
      <c r="S396">
        <v>24</v>
      </c>
      <c r="T396" t="b">
        <v>0</v>
      </c>
      <c r="U396">
        <v>22</v>
      </c>
      <c r="V396" s="4">
        <v>6.08</v>
      </c>
    </row>
    <row r="397" spans="1:22" hidden="1" x14ac:dyDescent="0.35">
      <c r="A397" t="s">
        <v>27</v>
      </c>
      <c r="B397">
        <v>1</v>
      </c>
      <c r="C397">
        <v>1</v>
      </c>
      <c r="D397">
        <v>5</v>
      </c>
      <c r="E397" t="s">
        <v>22</v>
      </c>
      <c r="F397">
        <v>200</v>
      </c>
      <c r="G397">
        <v>3</v>
      </c>
      <c r="H397">
        <v>16</v>
      </c>
      <c r="I397" t="s">
        <v>23</v>
      </c>
      <c r="J397" s="3">
        <v>78.174857000000003</v>
      </c>
      <c r="K397" s="3">
        <v>17499.967000000001</v>
      </c>
      <c r="L397" s="3">
        <v>21443.097000000002</v>
      </c>
      <c r="M397" s="3">
        <v>17499.967000000001</v>
      </c>
      <c r="N397" s="3">
        <v>17499.967000000001</v>
      </c>
      <c r="O397" s="4">
        <v>0</v>
      </c>
      <c r="P397" s="4">
        <v>22.5322</v>
      </c>
      <c r="Q397" s="4">
        <v>0</v>
      </c>
      <c r="R397" s="5">
        <v>2.6100000000000002E-2</v>
      </c>
      <c r="S397">
        <v>24</v>
      </c>
      <c r="T397" t="b">
        <v>0</v>
      </c>
      <c r="U397">
        <v>22</v>
      </c>
      <c r="V397" s="4">
        <v>16.32</v>
      </c>
    </row>
    <row r="398" spans="1:22" hidden="1" x14ac:dyDescent="0.35">
      <c r="A398" t="s">
        <v>27</v>
      </c>
      <c r="B398">
        <v>1</v>
      </c>
      <c r="C398">
        <v>1</v>
      </c>
      <c r="D398">
        <v>5</v>
      </c>
      <c r="E398" t="s">
        <v>25</v>
      </c>
      <c r="F398">
        <v>50</v>
      </c>
      <c r="G398">
        <v>1</v>
      </c>
      <c r="H398">
        <v>16</v>
      </c>
      <c r="I398" t="s">
        <v>23</v>
      </c>
      <c r="J398" s="3">
        <v>360.829362</v>
      </c>
      <c r="K398" s="3">
        <v>17499.967000000001</v>
      </c>
      <c r="L398" s="3">
        <v>21908.135999999999</v>
      </c>
      <c r="M398" s="3">
        <v>17499.967000000001</v>
      </c>
      <c r="N398" s="3">
        <v>17499.967000000001</v>
      </c>
      <c r="O398" s="4">
        <v>0</v>
      </c>
      <c r="P398" s="4">
        <v>25.189599999999999</v>
      </c>
      <c r="Q398" s="4">
        <v>0</v>
      </c>
      <c r="R398" s="5">
        <v>1.6000000000000001E-3</v>
      </c>
      <c r="S398">
        <v>11</v>
      </c>
      <c r="T398" t="b">
        <v>0</v>
      </c>
      <c r="U398">
        <v>7</v>
      </c>
      <c r="V398" s="4">
        <v>1.02</v>
      </c>
    </row>
    <row r="399" spans="1:22" hidden="1" x14ac:dyDescent="0.35">
      <c r="A399" t="s">
        <v>27</v>
      </c>
      <c r="B399">
        <v>1</v>
      </c>
      <c r="C399">
        <v>1</v>
      </c>
      <c r="D399">
        <v>5</v>
      </c>
      <c r="E399" t="s">
        <v>25</v>
      </c>
      <c r="F399">
        <v>50</v>
      </c>
      <c r="G399">
        <v>3</v>
      </c>
      <c r="H399">
        <v>16</v>
      </c>
      <c r="I399" t="s">
        <v>23</v>
      </c>
      <c r="J399" s="3">
        <v>322.13080600000001</v>
      </c>
      <c r="K399" s="3" t="s">
        <v>24</v>
      </c>
      <c r="L399" s="3" t="s">
        <v>24</v>
      </c>
      <c r="M399" s="3" t="s">
        <v>24</v>
      </c>
      <c r="N399" s="3">
        <v>17499.967000000001</v>
      </c>
      <c r="O399" s="4"/>
      <c r="P399" s="4"/>
      <c r="Q399" s="4"/>
      <c r="R399" s="5">
        <v>0</v>
      </c>
      <c r="S399">
        <v>0</v>
      </c>
      <c r="T399" t="b">
        <v>1</v>
      </c>
      <c r="U399">
        <v>-1</v>
      </c>
      <c r="V399" s="4">
        <v>2.38</v>
      </c>
    </row>
    <row r="400" spans="1:22" hidden="1" x14ac:dyDescent="0.35">
      <c r="A400" t="s">
        <v>27</v>
      </c>
      <c r="B400">
        <v>1</v>
      </c>
      <c r="C400">
        <v>1</v>
      </c>
      <c r="D400">
        <v>5</v>
      </c>
      <c r="E400" t="s">
        <v>25</v>
      </c>
      <c r="F400">
        <v>200</v>
      </c>
      <c r="G400">
        <v>1</v>
      </c>
      <c r="H400">
        <v>16</v>
      </c>
      <c r="I400" t="s">
        <v>23</v>
      </c>
      <c r="J400" s="3">
        <v>360.829362</v>
      </c>
      <c r="K400" s="3">
        <v>17499.967000000001</v>
      </c>
      <c r="L400" s="3">
        <v>21908.135999999999</v>
      </c>
      <c r="M400" s="3">
        <v>17499.967000000001</v>
      </c>
      <c r="N400" s="3">
        <v>17499.967000000001</v>
      </c>
      <c r="O400" s="4">
        <v>0</v>
      </c>
      <c r="P400" s="4">
        <v>25.189599999999999</v>
      </c>
      <c r="Q400" s="4">
        <v>0</v>
      </c>
      <c r="R400" s="5">
        <v>1.6000000000000001E-3</v>
      </c>
      <c r="S400">
        <v>11</v>
      </c>
      <c r="T400" t="b">
        <v>0</v>
      </c>
      <c r="U400">
        <v>7</v>
      </c>
      <c r="V400" s="4">
        <v>1.01</v>
      </c>
    </row>
    <row r="401" spans="1:22" hidden="1" x14ac:dyDescent="0.35">
      <c r="A401" t="s">
        <v>27</v>
      </c>
      <c r="B401">
        <v>1</v>
      </c>
      <c r="C401">
        <v>1</v>
      </c>
      <c r="D401">
        <v>5</v>
      </c>
      <c r="E401" t="s">
        <v>25</v>
      </c>
      <c r="F401">
        <v>200</v>
      </c>
      <c r="G401">
        <v>3</v>
      </c>
      <c r="H401">
        <v>16</v>
      </c>
      <c r="I401" t="s">
        <v>23</v>
      </c>
      <c r="J401" s="3">
        <v>322.13080600000001</v>
      </c>
      <c r="K401" s="3" t="s">
        <v>24</v>
      </c>
      <c r="L401" s="3" t="s">
        <v>24</v>
      </c>
      <c r="M401" s="3" t="s">
        <v>24</v>
      </c>
      <c r="N401" s="3">
        <v>17499.967000000001</v>
      </c>
      <c r="O401" s="4"/>
      <c r="P401" s="4"/>
      <c r="Q401" s="4"/>
      <c r="R401" s="5">
        <v>0</v>
      </c>
      <c r="S401">
        <v>0</v>
      </c>
      <c r="T401" t="b">
        <v>1</v>
      </c>
      <c r="U401">
        <v>-1</v>
      </c>
      <c r="V401" s="4">
        <v>2.2999999999999998</v>
      </c>
    </row>
    <row r="402" spans="1:22" hidden="1" x14ac:dyDescent="0.35">
      <c r="A402" t="s">
        <v>27</v>
      </c>
      <c r="B402">
        <v>1</v>
      </c>
      <c r="C402">
        <v>1</v>
      </c>
      <c r="D402">
        <v>10</v>
      </c>
      <c r="E402" t="s">
        <v>22</v>
      </c>
      <c r="F402">
        <v>50</v>
      </c>
      <c r="G402">
        <v>1</v>
      </c>
      <c r="H402">
        <v>16</v>
      </c>
      <c r="I402" t="s">
        <v>23</v>
      </c>
      <c r="J402" s="3">
        <v>150.083147</v>
      </c>
      <c r="K402" s="3">
        <v>17499.967000000001</v>
      </c>
      <c r="L402" s="3">
        <v>19710.715</v>
      </c>
      <c r="M402" s="3">
        <v>17499.967000000001</v>
      </c>
      <c r="N402" s="3">
        <v>17499.967000000001</v>
      </c>
      <c r="O402" s="4">
        <v>0</v>
      </c>
      <c r="P402" s="4">
        <v>12.632899999999999</v>
      </c>
      <c r="Q402" s="4">
        <v>0</v>
      </c>
      <c r="R402" s="5">
        <v>3.0099999999999998E-2</v>
      </c>
      <c r="S402">
        <v>24</v>
      </c>
      <c r="T402" t="b">
        <v>0</v>
      </c>
      <c r="U402">
        <v>2</v>
      </c>
      <c r="V402" s="4">
        <v>5.29</v>
      </c>
    </row>
    <row r="403" spans="1:22" hidden="1" x14ac:dyDescent="0.35">
      <c r="A403" t="s">
        <v>27</v>
      </c>
      <c r="B403">
        <v>1</v>
      </c>
      <c r="C403">
        <v>1</v>
      </c>
      <c r="D403">
        <v>10</v>
      </c>
      <c r="E403" t="s">
        <v>22</v>
      </c>
      <c r="F403">
        <v>50</v>
      </c>
      <c r="G403">
        <v>3</v>
      </c>
      <c r="H403">
        <v>16</v>
      </c>
      <c r="I403" t="s">
        <v>23</v>
      </c>
      <c r="J403" s="3">
        <v>150.083147</v>
      </c>
      <c r="K403" s="3">
        <v>17499.967000000001</v>
      </c>
      <c r="L403" s="3">
        <v>19710.715</v>
      </c>
      <c r="M403" s="3">
        <v>17499.967000000001</v>
      </c>
      <c r="N403" s="3">
        <v>17499.967000000001</v>
      </c>
      <c r="O403" s="4">
        <v>0</v>
      </c>
      <c r="P403" s="4">
        <v>12.632899999999999</v>
      </c>
      <c r="Q403" s="4">
        <v>0</v>
      </c>
      <c r="R403" s="5">
        <v>3.0099999999999998E-2</v>
      </c>
      <c r="S403">
        <v>24</v>
      </c>
      <c r="T403" t="b">
        <v>0</v>
      </c>
      <c r="U403">
        <v>2</v>
      </c>
      <c r="V403" s="4">
        <v>13.51</v>
      </c>
    </row>
    <row r="404" spans="1:22" hidden="1" x14ac:dyDescent="0.35">
      <c r="A404" t="s">
        <v>27</v>
      </c>
      <c r="B404">
        <v>1</v>
      </c>
      <c r="C404">
        <v>1</v>
      </c>
      <c r="D404">
        <v>10</v>
      </c>
      <c r="E404" t="s">
        <v>22</v>
      </c>
      <c r="F404">
        <v>200</v>
      </c>
      <c r="G404">
        <v>1</v>
      </c>
      <c r="H404">
        <v>16</v>
      </c>
      <c r="I404" t="s">
        <v>23</v>
      </c>
      <c r="J404" s="3">
        <v>150.083147</v>
      </c>
      <c r="K404" s="3">
        <v>17499.967000000001</v>
      </c>
      <c r="L404" s="3">
        <v>19710.715</v>
      </c>
      <c r="M404" s="3">
        <v>17499.967000000001</v>
      </c>
      <c r="N404" s="3">
        <v>17499.967000000001</v>
      </c>
      <c r="O404" s="4">
        <v>0</v>
      </c>
      <c r="P404" s="4">
        <v>12.632899999999999</v>
      </c>
      <c r="Q404" s="4">
        <v>0</v>
      </c>
      <c r="R404" s="5">
        <v>3.0099999999999998E-2</v>
      </c>
      <c r="S404">
        <v>24</v>
      </c>
      <c r="T404" t="b">
        <v>0</v>
      </c>
      <c r="U404">
        <v>2</v>
      </c>
      <c r="V404" s="4">
        <v>5.26</v>
      </c>
    </row>
    <row r="405" spans="1:22" hidden="1" x14ac:dyDescent="0.35">
      <c r="A405" t="s">
        <v>27</v>
      </c>
      <c r="B405">
        <v>1</v>
      </c>
      <c r="C405">
        <v>1</v>
      </c>
      <c r="D405">
        <v>10</v>
      </c>
      <c r="E405" t="s">
        <v>22</v>
      </c>
      <c r="F405">
        <v>200</v>
      </c>
      <c r="G405">
        <v>3</v>
      </c>
      <c r="H405">
        <v>16</v>
      </c>
      <c r="I405" t="s">
        <v>23</v>
      </c>
      <c r="J405" s="3">
        <v>150.083147</v>
      </c>
      <c r="K405" s="3">
        <v>17499.967000000001</v>
      </c>
      <c r="L405" s="3">
        <v>19710.715</v>
      </c>
      <c r="M405" s="3">
        <v>17499.967000000001</v>
      </c>
      <c r="N405" s="3">
        <v>17499.967000000001</v>
      </c>
      <c r="O405" s="4">
        <v>0</v>
      </c>
      <c r="P405" s="4">
        <v>12.632899999999999</v>
      </c>
      <c r="Q405" s="4">
        <v>0</v>
      </c>
      <c r="R405" s="5">
        <v>3.0099999999999998E-2</v>
      </c>
      <c r="S405">
        <v>24</v>
      </c>
      <c r="T405" t="b">
        <v>0</v>
      </c>
      <c r="U405">
        <v>2</v>
      </c>
      <c r="V405" s="4">
        <v>13.54</v>
      </c>
    </row>
    <row r="406" spans="1:22" hidden="1" x14ac:dyDescent="0.35">
      <c r="A406" t="s">
        <v>27</v>
      </c>
      <c r="B406">
        <v>1</v>
      </c>
      <c r="C406">
        <v>1</v>
      </c>
      <c r="D406">
        <v>10</v>
      </c>
      <c r="E406" t="s">
        <v>25</v>
      </c>
      <c r="F406">
        <v>50</v>
      </c>
      <c r="G406">
        <v>1</v>
      </c>
      <c r="H406">
        <v>16</v>
      </c>
      <c r="I406" t="s">
        <v>23</v>
      </c>
      <c r="J406" s="3">
        <v>734.11421600000006</v>
      </c>
      <c r="K406" s="3">
        <v>17499.967000000001</v>
      </c>
      <c r="L406" s="3">
        <v>21620.526999999998</v>
      </c>
      <c r="M406" s="3">
        <v>17499.967000000001</v>
      </c>
      <c r="N406" s="3">
        <v>17499.967000000001</v>
      </c>
      <c r="O406" s="4">
        <v>0</v>
      </c>
      <c r="P406" s="4">
        <v>23.546099999999999</v>
      </c>
      <c r="Q406" s="4">
        <v>0</v>
      </c>
      <c r="R406" s="5">
        <v>1.9E-3</v>
      </c>
      <c r="S406">
        <v>12</v>
      </c>
      <c r="T406" t="b">
        <v>0</v>
      </c>
      <c r="U406">
        <v>8</v>
      </c>
      <c r="V406" s="4">
        <v>1.02</v>
      </c>
    </row>
    <row r="407" spans="1:22" hidden="1" x14ac:dyDescent="0.35">
      <c r="A407" t="s">
        <v>27</v>
      </c>
      <c r="B407">
        <v>1</v>
      </c>
      <c r="C407">
        <v>1</v>
      </c>
      <c r="D407">
        <v>10</v>
      </c>
      <c r="E407" t="s">
        <v>25</v>
      </c>
      <c r="F407">
        <v>50</v>
      </c>
      <c r="G407">
        <v>3</v>
      </c>
      <c r="H407">
        <v>16</v>
      </c>
      <c r="I407" t="s">
        <v>23</v>
      </c>
      <c r="J407" s="3">
        <v>635.44755999999995</v>
      </c>
      <c r="K407" s="3">
        <v>17965.006000000001</v>
      </c>
      <c r="L407" s="3">
        <v>17965.006000000001</v>
      </c>
      <c r="M407" s="3">
        <v>17965.006000000001</v>
      </c>
      <c r="N407" s="3">
        <v>17499.967000000001</v>
      </c>
      <c r="O407" s="4">
        <v>2.6574</v>
      </c>
      <c r="P407" s="4">
        <v>2.6574</v>
      </c>
      <c r="Q407" s="4">
        <v>2.6574</v>
      </c>
      <c r="R407" s="5">
        <v>2.9999999999999997E-4</v>
      </c>
      <c r="S407">
        <v>3</v>
      </c>
      <c r="T407" t="b">
        <v>0</v>
      </c>
      <c r="U407">
        <v>1</v>
      </c>
      <c r="V407" s="4">
        <v>2.42</v>
      </c>
    </row>
    <row r="408" spans="1:22" hidden="1" x14ac:dyDescent="0.35">
      <c r="A408" t="s">
        <v>27</v>
      </c>
      <c r="B408">
        <v>1</v>
      </c>
      <c r="C408">
        <v>1</v>
      </c>
      <c r="D408">
        <v>10</v>
      </c>
      <c r="E408" t="s">
        <v>25</v>
      </c>
      <c r="F408">
        <v>200</v>
      </c>
      <c r="G408">
        <v>1</v>
      </c>
      <c r="H408">
        <v>16</v>
      </c>
      <c r="I408" t="s">
        <v>23</v>
      </c>
      <c r="J408" s="3">
        <v>734.11421600000006</v>
      </c>
      <c r="K408" s="3">
        <v>17499.967000000001</v>
      </c>
      <c r="L408" s="3">
        <v>21620.526999999998</v>
      </c>
      <c r="M408" s="3">
        <v>17499.967000000001</v>
      </c>
      <c r="N408" s="3">
        <v>17499.967000000001</v>
      </c>
      <c r="O408" s="4">
        <v>0</v>
      </c>
      <c r="P408" s="4">
        <v>23.546099999999999</v>
      </c>
      <c r="Q408" s="4">
        <v>0</v>
      </c>
      <c r="R408" s="5">
        <v>1.9E-3</v>
      </c>
      <c r="S408">
        <v>12</v>
      </c>
      <c r="T408" t="b">
        <v>0</v>
      </c>
      <c r="U408">
        <v>8</v>
      </c>
      <c r="V408" s="4">
        <v>1.01</v>
      </c>
    </row>
    <row r="409" spans="1:22" hidden="1" x14ac:dyDescent="0.35">
      <c r="A409" t="s">
        <v>27</v>
      </c>
      <c r="B409">
        <v>1</v>
      </c>
      <c r="C409">
        <v>1</v>
      </c>
      <c r="D409">
        <v>10</v>
      </c>
      <c r="E409" t="s">
        <v>25</v>
      </c>
      <c r="F409">
        <v>200</v>
      </c>
      <c r="G409">
        <v>3</v>
      </c>
      <c r="H409">
        <v>16</v>
      </c>
      <c r="I409" t="s">
        <v>23</v>
      </c>
      <c r="J409" s="3">
        <v>635.44755999999995</v>
      </c>
      <c r="K409" s="3">
        <v>17965.006000000001</v>
      </c>
      <c r="L409" s="3">
        <v>17965.006000000001</v>
      </c>
      <c r="M409" s="3">
        <v>17965.006000000001</v>
      </c>
      <c r="N409" s="3">
        <v>17499.967000000001</v>
      </c>
      <c r="O409" s="4">
        <v>2.6574</v>
      </c>
      <c r="P409" s="4">
        <v>2.6574</v>
      </c>
      <c r="Q409" s="4">
        <v>2.6574</v>
      </c>
      <c r="R409" s="5">
        <v>2.9999999999999997E-4</v>
      </c>
      <c r="S409">
        <v>3</v>
      </c>
      <c r="T409" t="b">
        <v>0</v>
      </c>
      <c r="U409">
        <v>1</v>
      </c>
      <c r="V409" s="4">
        <v>2.35</v>
      </c>
    </row>
    <row r="410" spans="1:22" hidden="1" x14ac:dyDescent="0.35">
      <c r="A410" t="s">
        <v>27</v>
      </c>
      <c r="B410">
        <v>1</v>
      </c>
      <c r="C410">
        <v>2</v>
      </c>
      <c r="D410">
        <v>2</v>
      </c>
      <c r="E410" t="s">
        <v>22</v>
      </c>
      <c r="F410">
        <v>50</v>
      </c>
      <c r="G410">
        <v>1</v>
      </c>
      <c r="H410">
        <v>16</v>
      </c>
      <c r="I410" t="s">
        <v>23</v>
      </c>
      <c r="J410" s="3">
        <v>38.670752999999998</v>
      </c>
      <c r="K410" s="3">
        <v>17499.967000000001</v>
      </c>
      <c r="L410" s="3">
        <v>17499.967000000001</v>
      </c>
      <c r="M410" s="3">
        <v>17499.967000000001</v>
      </c>
      <c r="N410" s="3">
        <v>17499.967000000001</v>
      </c>
      <c r="O410" s="4">
        <v>0</v>
      </c>
      <c r="P410" s="4">
        <v>0</v>
      </c>
      <c r="Q410" s="4">
        <v>0</v>
      </c>
      <c r="R410" s="5">
        <v>5.0000000000000001E-3</v>
      </c>
      <c r="S410">
        <v>22</v>
      </c>
      <c r="T410" t="b">
        <v>0</v>
      </c>
      <c r="U410">
        <v>6</v>
      </c>
      <c r="V410" s="4">
        <v>6.71</v>
      </c>
    </row>
    <row r="411" spans="1:22" hidden="1" x14ac:dyDescent="0.35">
      <c r="A411" t="s">
        <v>27</v>
      </c>
      <c r="B411">
        <v>1</v>
      </c>
      <c r="C411">
        <v>2</v>
      </c>
      <c r="D411">
        <v>2</v>
      </c>
      <c r="E411" t="s">
        <v>22</v>
      </c>
      <c r="F411">
        <v>50</v>
      </c>
      <c r="G411">
        <v>3</v>
      </c>
      <c r="H411">
        <v>16</v>
      </c>
      <c r="I411" t="s">
        <v>23</v>
      </c>
      <c r="J411" s="3">
        <v>38.670752999999998</v>
      </c>
      <c r="K411" s="3">
        <v>17499.967000000001</v>
      </c>
      <c r="L411" s="3">
        <v>17499.967000000001</v>
      </c>
      <c r="M411" s="3">
        <v>17499.967000000001</v>
      </c>
      <c r="N411" s="3">
        <v>17499.967000000001</v>
      </c>
      <c r="O411" s="4">
        <v>0</v>
      </c>
      <c r="P411" s="4">
        <v>0</v>
      </c>
      <c r="Q411" s="4">
        <v>0</v>
      </c>
      <c r="R411" s="5">
        <v>5.0000000000000001E-3</v>
      </c>
      <c r="S411">
        <v>22</v>
      </c>
      <c r="T411" t="b">
        <v>0</v>
      </c>
      <c r="U411">
        <v>6</v>
      </c>
      <c r="V411" s="4">
        <v>20.5</v>
      </c>
    </row>
    <row r="412" spans="1:22" hidden="1" x14ac:dyDescent="0.35">
      <c r="A412" t="s">
        <v>27</v>
      </c>
      <c r="B412">
        <v>1</v>
      </c>
      <c r="C412">
        <v>2</v>
      </c>
      <c r="D412">
        <v>2</v>
      </c>
      <c r="E412" t="s">
        <v>22</v>
      </c>
      <c r="F412">
        <v>200</v>
      </c>
      <c r="G412">
        <v>1</v>
      </c>
      <c r="H412">
        <v>16</v>
      </c>
      <c r="I412" t="s">
        <v>23</v>
      </c>
      <c r="J412" s="3">
        <v>38.670752999999998</v>
      </c>
      <c r="K412" s="3">
        <v>17499.967000000001</v>
      </c>
      <c r="L412" s="3">
        <v>17499.967000000001</v>
      </c>
      <c r="M412" s="3">
        <v>17499.967000000001</v>
      </c>
      <c r="N412" s="3">
        <v>17499.967000000001</v>
      </c>
      <c r="O412" s="4">
        <v>0</v>
      </c>
      <c r="P412" s="4">
        <v>0</v>
      </c>
      <c r="Q412" s="4">
        <v>0</v>
      </c>
      <c r="R412" s="5">
        <v>5.0000000000000001E-3</v>
      </c>
      <c r="S412">
        <v>22</v>
      </c>
      <c r="T412" t="b">
        <v>0</v>
      </c>
      <c r="U412">
        <v>6</v>
      </c>
      <c r="V412" s="4">
        <v>6.58</v>
      </c>
    </row>
    <row r="413" spans="1:22" hidden="1" x14ac:dyDescent="0.35">
      <c r="A413" t="s">
        <v>27</v>
      </c>
      <c r="B413">
        <v>1</v>
      </c>
      <c r="C413">
        <v>2</v>
      </c>
      <c r="D413">
        <v>2</v>
      </c>
      <c r="E413" t="s">
        <v>22</v>
      </c>
      <c r="F413">
        <v>200</v>
      </c>
      <c r="G413">
        <v>3</v>
      </c>
      <c r="H413">
        <v>16</v>
      </c>
      <c r="I413" t="s">
        <v>23</v>
      </c>
      <c r="J413" s="3">
        <v>38.670752999999998</v>
      </c>
      <c r="K413" s="3">
        <v>17499.967000000001</v>
      </c>
      <c r="L413" s="3">
        <v>17499.967000000001</v>
      </c>
      <c r="M413" s="3">
        <v>17499.967000000001</v>
      </c>
      <c r="N413" s="3">
        <v>17499.967000000001</v>
      </c>
      <c r="O413" s="4">
        <v>0</v>
      </c>
      <c r="P413" s="4">
        <v>0</v>
      </c>
      <c r="Q413" s="4">
        <v>0</v>
      </c>
      <c r="R413" s="5">
        <v>5.0000000000000001E-3</v>
      </c>
      <c r="S413">
        <v>22</v>
      </c>
      <c r="T413" t="b">
        <v>0</v>
      </c>
      <c r="U413">
        <v>6</v>
      </c>
      <c r="V413" s="4">
        <v>20.48</v>
      </c>
    </row>
    <row r="414" spans="1:22" hidden="1" x14ac:dyDescent="0.35">
      <c r="A414" t="s">
        <v>27</v>
      </c>
      <c r="B414">
        <v>1</v>
      </c>
      <c r="C414">
        <v>2</v>
      </c>
      <c r="D414">
        <v>2</v>
      </c>
      <c r="E414" t="s">
        <v>25</v>
      </c>
      <c r="F414">
        <v>50</v>
      </c>
      <c r="G414">
        <v>1</v>
      </c>
      <c r="H414">
        <v>16</v>
      </c>
      <c r="I414" t="s">
        <v>23</v>
      </c>
      <c r="J414" s="3">
        <v>138.57198399999999</v>
      </c>
      <c r="K414" s="3">
        <v>17499.967000000001</v>
      </c>
      <c r="L414" s="3">
        <v>21620.526999999998</v>
      </c>
      <c r="M414" s="3">
        <v>17499.967000000001</v>
      </c>
      <c r="N414" s="3">
        <v>17499.967000000001</v>
      </c>
      <c r="O414" s="4">
        <v>0</v>
      </c>
      <c r="P414" s="4">
        <v>23.546099999999999</v>
      </c>
      <c r="Q414" s="4">
        <v>0</v>
      </c>
      <c r="R414" s="5">
        <v>1.1000000000000001E-3</v>
      </c>
      <c r="S414">
        <v>9</v>
      </c>
      <c r="T414" t="b">
        <v>0</v>
      </c>
      <c r="U414">
        <v>3</v>
      </c>
      <c r="V414" s="4">
        <v>1.46</v>
      </c>
    </row>
    <row r="415" spans="1:22" hidden="1" x14ac:dyDescent="0.35">
      <c r="A415" t="s">
        <v>27</v>
      </c>
      <c r="B415">
        <v>1</v>
      </c>
      <c r="C415">
        <v>2</v>
      </c>
      <c r="D415">
        <v>2</v>
      </c>
      <c r="E415" t="s">
        <v>25</v>
      </c>
      <c r="F415">
        <v>50</v>
      </c>
      <c r="G415">
        <v>3</v>
      </c>
      <c r="H415">
        <v>16</v>
      </c>
      <c r="I415" t="s">
        <v>23</v>
      </c>
      <c r="J415" s="3">
        <v>127.650828</v>
      </c>
      <c r="K415" s="3">
        <v>17499.967000000001</v>
      </c>
      <c r="L415" s="3">
        <v>19697.387999999999</v>
      </c>
      <c r="M415" s="3">
        <v>17499.967000000001</v>
      </c>
      <c r="N415" s="3">
        <v>17499.967000000001</v>
      </c>
      <c r="O415" s="4">
        <v>0</v>
      </c>
      <c r="P415" s="4">
        <v>12.556699999999999</v>
      </c>
      <c r="Q415" s="4">
        <v>0</v>
      </c>
      <c r="R415" s="5">
        <v>8.9999999999999998E-4</v>
      </c>
      <c r="S415">
        <v>7</v>
      </c>
      <c r="T415" t="b">
        <v>0</v>
      </c>
      <c r="U415">
        <v>3</v>
      </c>
      <c r="V415" s="4">
        <v>3.4</v>
      </c>
    </row>
    <row r="416" spans="1:22" hidden="1" x14ac:dyDescent="0.35">
      <c r="A416" t="s">
        <v>27</v>
      </c>
      <c r="B416">
        <v>1</v>
      </c>
      <c r="C416">
        <v>2</v>
      </c>
      <c r="D416">
        <v>2</v>
      </c>
      <c r="E416" t="s">
        <v>25</v>
      </c>
      <c r="F416">
        <v>200</v>
      </c>
      <c r="G416">
        <v>1</v>
      </c>
      <c r="H416">
        <v>16</v>
      </c>
      <c r="I416" t="s">
        <v>23</v>
      </c>
      <c r="J416" s="3">
        <v>138.57198399999999</v>
      </c>
      <c r="K416" s="3">
        <v>17499.967000000001</v>
      </c>
      <c r="L416" s="3">
        <v>21620.526999999998</v>
      </c>
      <c r="M416" s="3">
        <v>17499.967000000001</v>
      </c>
      <c r="N416" s="3">
        <v>17499.967000000001</v>
      </c>
      <c r="O416" s="4">
        <v>0</v>
      </c>
      <c r="P416" s="4">
        <v>23.546099999999999</v>
      </c>
      <c r="Q416" s="4">
        <v>0</v>
      </c>
      <c r="R416" s="5">
        <v>1.1000000000000001E-3</v>
      </c>
      <c r="S416">
        <v>9</v>
      </c>
      <c r="T416" t="b">
        <v>0</v>
      </c>
      <c r="U416">
        <v>3</v>
      </c>
      <c r="V416" s="4">
        <v>1.46</v>
      </c>
    </row>
    <row r="417" spans="1:22" hidden="1" x14ac:dyDescent="0.35">
      <c r="A417" t="s">
        <v>27</v>
      </c>
      <c r="B417">
        <v>1</v>
      </c>
      <c r="C417">
        <v>2</v>
      </c>
      <c r="D417">
        <v>2</v>
      </c>
      <c r="E417" t="s">
        <v>25</v>
      </c>
      <c r="F417">
        <v>200</v>
      </c>
      <c r="G417">
        <v>3</v>
      </c>
      <c r="H417">
        <v>16</v>
      </c>
      <c r="I417" t="s">
        <v>23</v>
      </c>
      <c r="J417" s="3">
        <v>127.650828</v>
      </c>
      <c r="K417" s="3">
        <v>17499.967000000001</v>
      </c>
      <c r="L417" s="3">
        <v>19697.387999999999</v>
      </c>
      <c r="M417" s="3">
        <v>17499.967000000001</v>
      </c>
      <c r="N417" s="3">
        <v>17499.967000000001</v>
      </c>
      <c r="O417" s="4">
        <v>0</v>
      </c>
      <c r="P417" s="4">
        <v>12.556699999999999</v>
      </c>
      <c r="Q417" s="4">
        <v>0</v>
      </c>
      <c r="R417" s="5">
        <v>8.9999999999999998E-4</v>
      </c>
      <c r="S417">
        <v>7</v>
      </c>
      <c r="T417" t="b">
        <v>0</v>
      </c>
      <c r="U417">
        <v>3</v>
      </c>
      <c r="V417" s="4">
        <v>3.46</v>
      </c>
    </row>
    <row r="418" spans="1:22" hidden="1" x14ac:dyDescent="0.35">
      <c r="A418" t="s">
        <v>27</v>
      </c>
      <c r="B418">
        <v>1</v>
      </c>
      <c r="C418">
        <v>2</v>
      </c>
      <c r="D418">
        <v>5</v>
      </c>
      <c r="E418" t="s">
        <v>22</v>
      </c>
      <c r="F418">
        <v>50</v>
      </c>
      <c r="G418">
        <v>1</v>
      </c>
      <c r="H418">
        <v>16</v>
      </c>
      <c r="I418" t="s">
        <v>23</v>
      </c>
      <c r="J418" s="3">
        <v>84.375805999999997</v>
      </c>
      <c r="K418" s="3">
        <v>17499.967000000001</v>
      </c>
      <c r="L418" s="3">
        <v>19697.387999999999</v>
      </c>
      <c r="M418" s="3">
        <v>17499.967000000001</v>
      </c>
      <c r="N418" s="3">
        <v>17499.967000000001</v>
      </c>
      <c r="O418" s="4">
        <v>0</v>
      </c>
      <c r="P418" s="4">
        <v>12.556699999999999</v>
      </c>
      <c r="Q418" s="4">
        <v>0</v>
      </c>
      <c r="R418" s="5">
        <v>1.61E-2</v>
      </c>
      <c r="S418">
        <v>24</v>
      </c>
      <c r="T418" t="b">
        <v>0</v>
      </c>
      <c r="U418">
        <v>6</v>
      </c>
      <c r="V418" s="4">
        <v>6.62</v>
      </c>
    </row>
    <row r="419" spans="1:22" hidden="1" x14ac:dyDescent="0.35">
      <c r="A419" t="s">
        <v>27</v>
      </c>
      <c r="B419">
        <v>1</v>
      </c>
      <c r="C419">
        <v>2</v>
      </c>
      <c r="D419">
        <v>5</v>
      </c>
      <c r="E419" t="s">
        <v>22</v>
      </c>
      <c r="F419">
        <v>50</v>
      </c>
      <c r="G419">
        <v>3</v>
      </c>
      <c r="H419">
        <v>16</v>
      </c>
      <c r="I419" t="s">
        <v>23</v>
      </c>
      <c r="J419" s="3">
        <v>79.312883999999997</v>
      </c>
      <c r="K419" s="3">
        <v>17787.576000000001</v>
      </c>
      <c r="L419" s="3">
        <v>17787.576000000001</v>
      </c>
      <c r="M419" s="3">
        <v>17499.967000000001</v>
      </c>
      <c r="N419" s="3">
        <v>17499.967000000001</v>
      </c>
      <c r="O419" s="4">
        <v>1.6435</v>
      </c>
      <c r="P419" s="4">
        <v>1.6435</v>
      </c>
      <c r="Q419" s="4">
        <v>0</v>
      </c>
      <c r="R419" s="5">
        <v>2.7E-2</v>
      </c>
      <c r="S419">
        <v>24</v>
      </c>
      <c r="T419" t="b">
        <v>0</v>
      </c>
      <c r="U419">
        <v>14</v>
      </c>
      <c r="V419" s="4">
        <v>20.14</v>
      </c>
    </row>
    <row r="420" spans="1:22" hidden="1" x14ac:dyDescent="0.35">
      <c r="A420" t="s">
        <v>27</v>
      </c>
      <c r="B420">
        <v>1</v>
      </c>
      <c r="C420">
        <v>2</v>
      </c>
      <c r="D420">
        <v>5</v>
      </c>
      <c r="E420" t="s">
        <v>22</v>
      </c>
      <c r="F420">
        <v>200</v>
      </c>
      <c r="G420">
        <v>1</v>
      </c>
      <c r="H420">
        <v>16</v>
      </c>
      <c r="I420" t="s">
        <v>23</v>
      </c>
      <c r="J420" s="3">
        <v>84.375805999999997</v>
      </c>
      <c r="K420" s="3">
        <v>17499.967000000001</v>
      </c>
      <c r="L420" s="3">
        <v>19697.387999999999</v>
      </c>
      <c r="M420" s="3">
        <v>17499.967000000001</v>
      </c>
      <c r="N420" s="3">
        <v>17499.967000000001</v>
      </c>
      <c r="O420" s="4">
        <v>0</v>
      </c>
      <c r="P420" s="4">
        <v>12.556699999999999</v>
      </c>
      <c r="Q420" s="4">
        <v>0</v>
      </c>
      <c r="R420" s="5">
        <v>1.61E-2</v>
      </c>
      <c r="S420">
        <v>24</v>
      </c>
      <c r="T420" t="b">
        <v>0</v>
      </c>
      <c r="U420">
        <v>6</v>
      </c>
      <c r="V420" s="4">
        <v>6.58</v>
      </c>
    </row>
    <row r="421" spans="1:22" hidden="1" x14ac:dyDescent="0.35">
      <c r="A421" t="s">
        <v>27</v>
      </c>
      <c r="B421">
        <v>1</v>
      </c>
      <c r="C421">
        <v>2</v>
      </c>
      <c r="D421">
        <v>5</v>
      </c>
      <c r="E421" t="s">
        <v>22</v>
      </c>
      <c r="F421">
        <v>200</v>
      </c>
      <c r="G421">
        <v>3</v>
      </c>
      <c r="H421">
        <v>16</v>
      </c>
      <c r="I421" t="s">
        <v>23</v>
      </c>
      <c r="J421" s="3">
        <v>79.312883999999997</v>
      </c>
      <c r="K421" s="3">
        <v>17787.576000000001</v>
      </c>
      <c r="L421" s="3">
        <v>17787.576000000001</v>
      </c>
      <c r="M421" s="3">
        <v>17499.967000000001</v>
      </c>
      <c r="N421" s="3">
        <v>17499.967000000001</v>
      </c>
      <c r="O421" s="4">
        <v>1.6435</v>
      </c>
      <c r="P421" s="4">
        <v>1.6435</v>
      </c>
      <c r="Q421" s="4">
        <v>0</v>
      </c>
      <c r="R421" s="5">
        <v>2.7E-2</v>
      </c>
      <c r="S421">
        <v>24</v>
      </c>
      <c r="T421" t="b">
        <v>0</v>
      </c>
      <c r="U421">
        <v>14</v>
      </c>
      <c r="V421" s="4">
        <v>20.309999999999999</v>
      </c>
    </row>
    <row r="422" spans="1:22" hidden="1" x14ac:dyDescent="0.35">
      <c r="A422" t="s">
        <v>27</v>
      </c>
      <c r="B422">
        <v>1</v>
      </c>
      <c r="C422">
        <v>2</v>
      </c>
      <c r="D422">
        <v>5</v>
      </c>
      <c r="E422" t="s">
        <v>25</v>
      </c>
      <c r="F422">
        <v>50</v>
      </c>
      <c r="G422">
        <v>1</v>
      </c>
      <c r="H422">
        <v>16</v>
      </c>
      <c r="I422" t="s">
        <v>23</v>
      </c>
      <c r="J422" s="3">
        <v>339.353093</v>
      </c>
      <c r="K422" s="3">
        <v>17560.769</v>
      </c>
      <c r="L422" s="3">
        <v>21443.097000000002</v>
      </c>
      <c r="M422" s="3">
        <v>17560.769</v>
      </c>
      <c r="N422" s="3">
        <v>17499.967000000001</v>
      </c>
      <c r="O422" s="4">
        <v>0.34739999999999999</v>
      </c>
      <c r="P422" s="4">
        <v>22.5322</v>
      </c>
      <c r="Q422" s="4">
        <v>0.34739999999999999</v>
      </c>
      <c r="R422" s="5">
        <v>2.3999999999999998E-3</v>
      </c>
      <c r="S422">
        <v>15</v>
      </c>
      <c r="T422" t="b">
        <v>0</v>
      </c>
      <c r="U422">
        <v>5</v>
      </c>
      <c r="V422" s="4">
        <v>1.45</v>
      </c>
    </row>
    <row r="423" spans="1:22" hidden="1" x14ac:dyDescent="0.35">
      <c r="A423" t="s">
        <v>27</v>
      </c>
      <c r="B423">
        <v>1</v>
      </c>
      <c r="C423">
        <v>2</v>
      </c>
      <c r="D423">
        <v>5</v>
      </c>
      <c r="E423" t="s">
        <v>25</v>
      </c>
      <c r="F423">
        <v>50</v>
      </c>
      <c r="G423">
        <v>3</v>
      </c>
      <c r="H423">
        <v>16</v>
      </c>
      <c r="I423" t="s">
        <v>23</v>
      </c>
      <c r="J423" s="3">
        <v>287.11250100000001</v>
      </c>
      <c r="K423" s="3">
        <v>17499.967000000001</v>
      </c>
      <c r="L423" s="3">
        <v>21443.097000000002</v>
      </c>
      <c r="M423" s="3">
        <v>17499.967000000001</v>
      </c>
      <c r="N423" s="3">
        <v>17499.967000000001</v>
      </c>
      <c r="O423" s="4">
        <v>0</v>
      </c>
      <c r="P423" s="4">
        <v>22.5322</v>
      </c>
      <c r="Q423" s="4">
        <v>0</v>
      </c>
      <c r="R423" s="5">
        <v>1.8E-3</v>
      </c>
      <c r="S423">
        <v>13</v>
      </c>
      <c r="T423" t="b">
        <v>0</v>
      </c>
      <c r="U423">
        <v>2</v>
      </c>
      <c r="V423" s="4">
        <v>3.3</v>
      </c>
    </row>
    <row r="424" spans="1:22" hidden="1" x14ac:dyDescent="0.35">
      <c r="A424" t="s">
        <v>27</v>
      </c>
      <c r="B424">
        <v>1</v>
      </c>
      <c r="C424">
        <v>2</v>
      </c>
      <c r="D424">
        <v>5</v>
      </c>
      <c r="E424" t="s">
        <v>25</v>
      </c>
      <c r="F424">
        <v>200</v>
      </c>
      <c r="G424">
        <v>1</v>
      </c>
      <c r="H424">
        <v>16</v>
      </c>
      <c r="I424" t="s">
        <v>23</v>
      </c>
      <c r="J424" s="3">
        <v>339.353093</v>
      </c>
      <c r="K424" s="3">
        <v>17560.769</v>
      </c>
      <c r="L424" s="3">
        <v>21443.097000000002</v>
      </c>
      <c r="M424" s="3">
        <v>17560.769</v>
      </c>
      <c r="N424" s="3">
        <v>17499.967000000001</v>
      </c>
      <c r="O424" s="4">
        <v>0.34739999999999999</v>
      </c>
      <c r="P424" s="4">
        <v>22.5322</v>
      </c>
      <c r="Q424" s="4">
        <v>0.34739999999999999</v>
      </c>
      <c r="R424" s="5">
        <v>2.3999999999999998E-3</v>
      </c>
      <c r="S424">
        <v>15</v>
      </c>
      <c r="T424" t="b">
        <v>0</v>
      </c>
      <c r="U424">
        <v>5</v>
      </c>
      <c r="V424" s="4">
        <v>1.46</v>
      </c>
    </row>
    <row r="425" spans="1:22" hidden="1" x14ac:dyDescent="0.35">
      <c r="A425" t="s">
        <v>27</v>
      </c>
      <c r="B425">
        <v>1</v>
      </c>
      <c r="C425">
        <v>2</v>
      </c>
      <c r="D425">
        <v>5</v>
      </c>
      <c r="E425" t="s">
        <v>25</v>
      </c>
      <c r="F425">
        <v>200</v>
      </c>
      <c r="G425">
        <v>3</v>
      </c>
      <c r="H425">
        <v>16</v>
      </c>
      <c r="I425" t="s">
        <v>23</v>
      </c>
      <c r="J425" s="3">
        <v>287.11250100000001</v>
      </c>
      <c r="K425" s="3">
        <v>17499.967000000001</v>
      </c>
      <c r="L425" s="3">
        <v>21443.097000000002</v>
      </c>
      <c r="M425" s="3">
        <v>17499.967000000001</v>
      </c>
      <c r="N425" s="3">
        <v>17499.967000000001</v>
      </c>
      <c r="O425" s="4">
        <v>0</v>
      </c>
      <c r="P425" s="4">
        <v>22.5322</v>
      </c>
      <c r="Q425" s="4">
        <v>0</v>
      </c>
      <c r="R425" s="5">
        <v>1.8E-3</v>
      </c>
      <c r="S425">
        <v>13</v>
      </c>
      <c r="T425" t="b">
        <v>0</v>
      </c>
      <c r="U425">
        <v>2</v>
      </c>
      <c r="V425" s="4">
        <v>3.29</v>
      </c>
    </row>
    <row r="426" spans="1:22" hidden="1" x14ac:dyDescent="0.35">
      <c r="A426" t="s">
        <v>27</v>
      </c>
      <c r="B426">
        <v>1</v>
      </c>
      <c r="C426">
        <v>2</v>
      </c>
      <c r="D426">
        <v>10</v>
      </c>
      <c r="E426" t="s">
        <v>22</v>
      </c>
      <c r="F426">
        <v>50</v>
      </c>
      <c r="G426">
        <v>1</v>
      </c>
      <c r="H426">
        <v>16</v>
      </c>
      <c r="I426" t="s">
        <v>23</v>
      </c>
      <c r="J426" s="3">
        <v>159.74283199999999</v>
      </c>
      <c r="K426" s="3">
        <v>17499.967000000001</v>
      </c>
      <c r="L426" s="3">
        <v>17787.576000000001</v>
      </c>
      <c r="M426" s="3">
        <v>17499.967000000001</v>
      </c>
      <c r="N426" s="3">
        <v>17499.967000000001</v>
      </c>
      <c r="O426" s="4">
        <v>0</v>
      </c>
      <c r="P426" s="4">
        <v>1.6435</v>
      </c>
      <c r="Q426" s="4">
        <v>0</v>
      </c>
      <c r="R426" s="5">
        <v>1.89E-2</v>
      </c>
      <c r="S426">
        <v>24</v>
      </c>
      <c r="T426" t="b">
        <v>0</v>
      </c>
      <c r="U426">
        <v>3</v>
      </c>
      <c r="V426" s="4">
        <v>7.55</v>
      </c>
    </row>
    <row r="427" spans="1:22" hidden="1" x14ac:dyDescent="0.35">
      <c r="A427" t="s">
        <v>27</v>
      </c>
      <c r="B427">
        <v>1</v>
      </c>
      <c r="C427">
        <v>2</v>
      </c>
      <c r="D427">
        <v>10</v>
      </c>
      <c r="E427" t="s">
        <v>22</v>
      </c>
      <c r="F427">
        <v>50</v>
      </c>
      <c r="G427">
        <v>3</v>
      </c>
      <c r="H427">
        <v>16</v>
      </c>
      <c r="I427" t="s">
        <v>23</v>
      </c>
      <c r="J427" s="3">
        <v>149.38800800000001</v>
      </c>
      <c r="K427" s="3">
        <v>17499.967000000001</v>
      </c>
      <c r="L427" s="3">
        <v>21620.526999999998</v>
      </c>
      <c r="M427" s="3">
        <v>17499.967000000001</v>
      </c>
      <c r="N427" s="3">
        <v>17499.967000000001</v>
      </c>
      <c r="O427" s="4">
        <v>0</v>
      </c>
      <c r="P427" s="4">
        <v>23.546099999999999</v>
      </c>
      <c r="Q427" s="4">
        <v>0</v>
      </c>
      <c r="R427" s="5">
        <v>2.3599999999999999E-2</v>
      </c>
      <c r="S427">
        <v>24</v>
      </c>
      <c r="T427" t="b">
        <v>0</v>
      </c>
      <c r="U427">
        <v>7</v>
      </c>
      <c r="V427" s="4">
        <v>21.5</v>
      </c>
    </row>
    <row r="428" spans="1:22" hidden="1" x14ac:dyDescent="0.35">
      <c r="A428" t="s">
        <v>27</v>
      </c>
      <c r="B428">
        <v>1</v>
      </c>
      <c r="C428">
        <v>2</v>
      </c>
      <c r="D428">
        <v>10</v>
      </c>
      <c r="E428" t="s">
        <v>22</v>
      </c>
      <c r="F428">
        <v>200</v>
      </c>
      <c r="G428">
        <v>1</v>
      </c>
      <c r="H428">
        <v>16</v>
      </c>
      <c r="I428" t="s">
        <v>23</v>
      </c>
      <c r="J428" s="3">
        <v>159.74283199999999</v>
      </c>
      <c r="K428" s="3">
        <v>17499.967000000001</v>
      </c>
      <c r="L428" s="3">
        <v>17787.576000000001</v>
      </c>
      <c r="M428" s="3">
        <v>17499.967000000001</v>
      </c>
      <c r="N428" s="3">
        <v>17499.967000000001</v>
      </c>
      <c r="O428" s="4">
        <v>0</v>
      </c>
      <c r="P428" s="4">
        <v>1.6435</v>
      </c>
      <c r="Q428" s="4">
        <v>0</v>
      </c>
      <c r="R428" s="5">
        <v>1.89E-2</v>
      </c>
      <c r="S428">
        <v>24</v>
      </c>
      <c r="T428" t="b">
        <v>0</v>
      </c>
      <c r="U428">
        <v>3</v>
      </c>
      <c r="V428" s="4">
        <v>7.4</v>
      </c>
    </row>
    <row r="429" spans="1:22" hidden="1" x14ac:dyDescent="0.35">
      <c r="A429" t="s">
        <v>27</v>
      </c>
      <c r="B429">
        <v>1</v>
      </c>
      <c r="C429">
        <v>2</v>
      </c>
      <c r="D429">
        <v>10</v>
      </c>
      <c r="E429" t="s">
        <v>22</v>
      </c>
      <c r="F429">
        <v>200</v>
      </c>
      <c r="G429">
        <v>3</v>
      </c>
      <c r="H429">
        <v>16</v>
      </c>
      <c r="I429" t="s">
        <v>23</v>
      </c>
      <c r="J429" s="3">
        <v>149.38800800000001</v>
      </c>
      <c r="K429" s="3">
        <v>17499.967000000001</v>
      </c>
      <c r="L429" s="3">
        <v>21620.526999999998</v>
      </c>
      <c r="M429" s="3">
        <v>17499.967000000001</v>
      </c>
      <c r="N429" s="3">
        <v>17499.967000000001</v>
      </c>
      <c r="O429" s="4">
        <v>0</v>
      </c>
      <c r="P429" s="4">
        <v>23.546099999999999</v>
      </c>
      <c r="Q429" s="4">
        <v>0</v>
      </c>
      <c r="R429" s="5">
        <v>2.3599999999999999E-2</v>
      </c>
      <c r="S429">
        <v>24</v>
      </c>
      <c r="T429" t="b">
        <v>0</v>
      </c>
      <c r="U429">
        <v>7</v>
      </c>
      <c r="V429" s="4">
        <v>21.4</v>
      </c>
    </row>
    <row r="430" spans="1:22" hidden="1" x14ac:dyDescent="0.35">
      <c r="A430" t="s">
        <v>27</v>
      </c>
      <c r="B430">
        <v>1</v>
      </c>
      <c r="C430">
        <v>2</v>
      </c>
      <c r="D430">
        <v>10</v>
      </c>
      <c r="E430" t="s">
        <v>25</v>
      </c>
      <c r="F430">
        <v>50</v>
      </c>
      <c r="G430">
        <v>1</v>
      </c>
      <c r="H430">
        <v>16</v>
      </c>
      <c r="I430" t="s">
        <v>23</v>
      </c>
      <c r="J430" s="3">
        <v>697.876259</v>
      </c>
      <c r="K430" s="3">
        <v>17499.967000000001</v>
      </c>
      <c r="L430" s="3">
        <v>21443.097000000002</v>
      </c>
      <c r="M430" s="3">
        <v>17499.967000000001</v>
      </c>
      <c r="N430" s="3">
        <v>17499.967000000001</v>
      </c>
      <c r="O430" s="4">
        <v>0</v>
      </c>
      <c r="P430" s="4">
        <v>22.5322</v>
      </c>
      <c r="Q430" s="4">
        <v>0</v>
      </c>
      <c r="R430" s="5">
        <v>2.0999999999999999E-3</v>
      </c>
      <c r="S430">
        <v>14</v>
      </c>
      <c r="T430" t="b">
        <v>0</v>
      </c>
      <c r="U430">
        <v>7</v>
      </c>
      <c r="V430" s="4">
        <v>1.46</v>
      </c>
    </row>
    <row r="431" spans="1:22" hidden="1" x14ac:dyDescent="0.35">
      <c r="A431" t="s">
        <v>27</v>
      </c>
      <c r="B431">
        <v>1</v>
      </c>
      <c r="C431">
        <v>2</v>
      </c>
      <c r="D431">
        <v>10</v>
      </c>
      <c r="E431" t="s">
        <v>25</v>
      </c>
      <c r="F431">
        <v>50</v>
      </c>
      <c r="G431">
        <v>3</v>
      </c>
      <c r="H431">
        <v>16</v>
      </c>
      <c r="I431" t="s">
        <v>23</v>
      </c>
      <c r="J431" s="3">
        <v>534.25404700000001</v>
      </c>
      <c r="K431" s="3">
        <v>17499.967000000001</v>
      </c>
      <c r="L431" s="3">
        <v>17499.967000000001</v>
      </c>
      <c r="M431" s="3">
        <v>17499.967000000001</v>
      </c>
      <c r="N431" s="3">
        <v>17499.967000000001</v>
      </c>
      <c r="O431" s="4">
        <v>0</v>
      </c>
      <c r="P431" s="4">
        <v>0</v>
      </c>
      <c r="Q431" s="4">
        <v>0</v>
      </c>
      <c r="R431" s="5">
        <v>2.8E-3</v>
      </c>
      <c r="S431">
        <v>18</v>
      </c>
      <c r="T431" t="b">
        <v>0</v>
      </c>
      <c r="U431">
        <v>1</v>
      </c>
      <c r="V431" s="4">
        <v>3.25</v>
      </c>
    </row>
    <row r="432" spans="1:22" hidden="1" x14ac:dyDescent="0.35">
      <c r="A432" t="s">
        <v>27</v>
      </c>
      <c r="B432">
        <v>1</v>
      </c>
      <c r="C432">
        <v>2</v>
      </c>
      <c r="D432">
        <v>10</v>
      </c>
      <c r="E432" t="s">
        <v>25</v>
      </c>
      <c r="F432">
        <v>200</v>
      </c>
      <c r="G432">
        <v>1</v>
      </c>
      <c r="H432">
        <v>16</v>
      </c>
      <c r="I432" t="s">
        <v>23</v>
      </c>
      <c r="J432" s="3">
        <v>697.876259</v>
      </c>
      <c r="K432" s="3">
        <v>17499.967000000001</v>
      </c>
      <c r="L432" s="3">
        <v>21443.097000000002</v>
      </c>
      <c r="M432" s="3">
        <v>17499.967000000001</v>
      </c>
      <c r="N432" s="3">
        <v>17499.967000000001</v>
      </c>
      <c r="O432" s="4">
        <v>0</v>
      </c>
      <c r="P432" s="4">
        <v>22.5322</v>
      </c>
      <c r="Q432" s="4">
        <v>0</v>
      </c>
      <c r="R432" s="5">
        <v>2.0999999999999999E-3</v>
      </c>
      <c r="S432">
        <v>14</v>
      </c>
      <c r="T432" t="b">
        <v>0</v>
      </c>
      <c r="U432">
        <v>7</v>
      </c>
      <c r="V432" s="4">
        <v>1.47</v>
      </c>
    </row>
    <row r="433" spans="1:22" hidden="1" x14ac:dyDescent="0.35">
      <c r="A433" t="s">
        <v>27</v>
      </c>
      <c r="B433">
        <v>1</v>
      </c>
      <c r="C433">
        <v>2</v>
      </c>
      <c r="D433">
        <v>10</v>
      </c>
      <c r="E433" t="s">
        <v>25</v>
      </c>
      <c r="F433">
        <v>200</v>
      </c>
      <c r="G433">
        <v>3</v>
      </c>
      <c r="H433">
        <v>16</v>
      </c>
      <c r="I433" t="s">
        <v>23</v>
      </c>
      <c r="J433" s="3">
        <v>534.25404700000001</v>
      </c>
      <c r="K433" s="3">
        <v>17499.967000000001</v>
      </c>
      <c r="L433" s="3">
        <v>17499.967000000001</v>
      </c>
      <c r="M433" s="3">
        <v>17499.967000000001</v>
      </c>
      <c r="N433" s="3">
        <v>17499.967000000001</v>
      </c>
      <c r="O433" s="4">
        <v>0</v>
      </c>
      <c r="P433" s="4">
        <v>0</v>
      </c>
      <c r="Q433" s="4">
        <v>0</v>
      </c>
      <c r="R433" s="5">
        <v>2.8E-3</v>
      </c>
      <c r="S433">
        <v>18</v>
      </c>
      <c r="T433" t="b">
        <v>0</v>
      </c>
      <c r="U433">
        <v>1</v>
      </c>
      <c r="V433" s="4">
        <v>3.28</v>
      </c>
    </row>
    <row r="434" spans="1:22" hidden="1" x14ac:dyDescent="0.35">
      <c r="A434" t="s">
        <v>27</v>
      </c>
      <c r="B434">
        <v>1</v>
      </c>
      <c r="C434">
        <v>3</v>
      </c>
      <c r="D434">
        <v>2</v>
      </c>
      <c r="E434" t="s">
        <v>22</v>
      </c>
      <c r="F434">
        <v>50</v>
      </c>
      <c r="G434">
        <v>1</v>
      </c>
      <c r="H434">
        <v>16</v>
      </c>
      <c r="I434" t="s">
        <v>23</v>
      </c>
      <c r="J434" s="3">
        <v>44.281604999999999</v>
      </c>
      <c r="K434" s="3">
        <v>19580.759999999998</v>
      </c>
      <c r="L434" s="3">
        <v>21443.097000000002</v>
      </c>
      <c r="M434" s="3">
        <v>17499.967000000001</v>
      </c>
      <c r="N434" s="3">
        <v>17499.967000000001</v>
      </c>
      <c r="O434" s="4">
        <v>11.8903</v>
      </c>
      <c r="P434" s="4">
        <v>22.5322</v>
      </c>
      <c r="Q434" s="4">
        <v>0</v>
      </c>
      <c r="R434" s="5">
        <v>6.0400000000000002E-2</v>
      </c>
      <c r="S434">
        <v>24</v>
      </c>
      <c r="T434" t="b">
        <v>0</v>
      </c>
      <c r="U434">
        <v>23</v>
      </c>
      <c r="V434" s="4">
        <v>9.1199999999999992</v>
      </c>
    </row>
    <row r="435" spans="1:22" hidden="1" x14ac:dyDescent="0.35">
      <c r="A435" t="s">
        <v>27</v>
      </c>
      <c r="B435">
        <v>1</v>
      </c>
      <c r="C435">
        <v>3</v>
      </c>
      <c r="D435">
        <v>2</v>
      </c>
      <c r="E435" t="s">
        <v>22</v>
      </c>
      <c r="F435">
        <v>50</v>
      </c>
      <c r="G435">
        <v>3</v>
      </c>
      <c r="H435">
        <v>16</v>
      </c>
      <c r="I435" t="s">
        <v>23</v>
      </c>
      <c r="J435" s="3">
        <v>44.281604999999999</v>
      </c>
      <c r="K435" s="3">
        <v>19580.759999999998</v>
      </c>
      <c r="L435" s="3">
        <v>21443.097000000002</v>
      </c>
      <c r="M435" s="3">
        <v>17499.967000000001</v>
      </c>
      <c r="N435" s="3">
        <v>17499.967000000001</v>
      </c>
      <c r="O435" s="4">
        <v>11.8903</v>
      </c>
      <c r="P435" s="4">
        <v>22.5322</v>
      </c>
      <c r="Q435" s="4">
        <v>0</v>
      </c>
      <c r="R435" s="5">
        <v>6.0400000000000002E-2</v>
      </c>
      <c r="S435">
        <v>24</v>
      </c>
      <c r="T435" t="b">
        <v>0</v>
      </c>
      <c r="U435">
        <v>23</v>
      </c>
      <c r="V435" s="4">
        <v>26.25</v>
      </c>
    </row>
    <row r="436" spans="1:22" hidden="1" x14ac:dyDescent="0.35">
      <c r="A436" t="s">
        <v>27</v>
      </c>
      <c r="B436">
        <v>1</v>
      </c>
      <c r="C436">
        <v>3</v>
      </c>
      <c r="D436">
        <v>2</v>
      </c>
      <c r="E436" t="s">
        <v>22</v>
      </c>
      <c r="F436">
        <v>200</v>
      </c>
      <c r="G436">
        <v>1</v>
      </c>
      <c r="H436">
        <v>16</v>
      </c>
      <c r="I436" t="s">
        <v>23</v>
      </c>
      <c r="J436" s="3">
        <v>44.281604999999999</v>
      </c>
      <c r="K436" s="3">
        <v>19580.759999999998</v>
      </c>
      <c r="L436" s="3">
        <v>21443.097000000002</v>
      </c>
      <c r="M436" s="3">
        <v>17499.967000000001</v>
      </c>
      <c r="N436" s="3">
        <v>17499.967000000001</v>
      </c>
      <c r="O436" s="4">
        <v>11.8903</v>
      </c>
      <c r="P436" s="4">
        <v>22.5322</v>
      </c>
      <c r="Q436" s="4">
        <v>0</v>
      </c>
      <c r="R436" s="5">
        <v>6.0400000000000002E-2</v>
      </c>
      <c r="S436">
        <v>24</v>
      </c>
      <c r="T436" t="b">
        <v>0</v>
      </c>
      <c r="U436">
        <v>23</v>
      </c>
      <c r="V436" s="4">
        <v>9.93</v>
      </c>
    </row>
    <row r="437" spans="1:22" hidden="1" x14ac:dyDescent="0.35">
      <c r="A437" t="s">
        <v>27</v>
      </c>
      <c r="B437">
        <v>1</v>
      </c>
      <c r="C437">
        <v>3</v>
      </c>
      <c r="D437">
        <v>2</v>
      </c>
      <c r="E437" t="s">
        <v>22</v>
      </c>
      <c r="F437">
        <v>200</v>
      </c>
      <c r="G437">
        <v>3</v>
      </c>
      <c r="H437">
        <v>16</v>
      </c>
      <c r="I437" t="s">
        <v>23</v>
      </c>
      <c r="J437" s="3">
        <v>44.281604999999999</v>
      </c>
      <c r="K437" s="3">
        <v>19580.759999999998</v>
      </c>
      <c r="L437" s="3">
        <v>21443.097000000002</v>
      </c>
      <c r="M437" s="3">
        <v>17499.967000000001</v>
      </c>
      <c r="N437" s="3">
        <v>17499.967000000001</v>
      </c>
      <c r="O437" s="4">
        <v>11.8903</v>
      </c>
      <c r="P437" s="4">
        <v>22.5322</v>
      </c>
      <c r="Q437" s="4">
        <v>0</v>
      </c>
      <c r="R437" s="5">
        <v>6.0400000000000002E-2</v>
      </c>
      <c r="S437">
        <v>24</v>
      </c>
      <c r="T437" t="b">
        <v>0</v>
      </c>
      <c r="U437">
        <v>23</v>
      </c>
      <c r="V437" s="4">
        <v>30.25</v>
      </c>
    </row>
    <row r="438" spans="1:22" hidden="1" x14ac:dyDescent="0.35">
      <c r="A438" t="s">
        <v>27</v>
      </c>
      <c r="B438">
        <v>1</v>
      </c>
      <c r="C438">
        <v>3</v>
      </c>
      <c r="D438">
        <v>2</v>
      </c>
      <c r="E438" t="s">
        <v>25</v>
      </c>
      <c r="F438">
        <v>50</v>
      </c>
      <c r="G438">
        <v>1</v>
      </c>
      <c r="H438">
        <v>16</v>
      </c>
      <c r="I438" t="s">
        <v>23</v>
      </c>
      <c r="J438" s="3">
        <v>138.09356</v>
      </c>
      <c r="K438" s="3" t="s">
        <v>24</v>
      </c>
      <c r="L438" s="3" t="s">
        <v>24</v>
      </c>
      <c r="M438" s="3" t="s">
        <v>24</v>
      </c>
      <c r="N438" s="3">
        <v>17499.967000000001</v>
      </c>
      <c r="O438" s="4"/>
      <c r="P438" s="4"/>
      <c r="Q438" s="4"/>
      <c r="R438" s="5">
        <v>0</v>
      </c>
      <c r="S438">
        <v>0</v>
      </c>
      <c r="T438" t="b">
        <v>1</v>
      </c>
      <c r="U438">
        <v>-1</v>
      </c>
      <c r="V438" s="4">
        <v>1.87</v>
      </c>
    </row>
    <row r="439" spans="1:22" hidden="1" x14ac:dyDescent="0.35">
      <c r="A439" t="s">
        <v>27</v>
      </c>
      <c r="B439">
        <v>1</v>
      </c>
      <c r="C439">
        <v>3</v>
      </c>
      <c r="D439">
        <v>2</v>
      </c>
      <c r="E439" t="s">
        <v>25</v>
      </c>
      <c r="F439">
        <v>50</v>
      </c>
      <c r="G439">
        <v>3</v>
      </c>
      <c r="H439">
        <v>16</v>
      </c>
      <c r="I439" t="s">
        <v>23</v>
      </c>
      <c r="J439" s="3">
        <v>131.89655300000001</v>
      </c>
      <c r="K439" s="3">
        <v>17499.967000000001</v>
      </c>
      <c r="L439" s="3">
        <v>19580.759999999998</v>
      </c>
      <c r="M439" s="3">
        <v>17499.967000000001</v>
      </c>
      <c r="N439" s="3">
        <v>17499.967000000001</v>
      </c>
      <c r="O439" s="4">
        <v>0</v>
      </c>
      <c r="P439" s="4">
        <v>11.8903</v>
      </c>
      <c r="Q439" s="4">
        <v>0</v>
      </c>
      <c r="R439" s="5">
        <v>1.2999999999999999E-3</v>
      </c>
      <c r="S439">
        <v>9</v>
      </c>
      <c r="T439" t="b">
        <v>0</v>
      </c>
      <c r="U439">
        <v>5</v>
      </c>
      <c r="V439" s="4">
        <v>5.05</v>
      </c>
    </row>
    <row r="440" spans="1:22" hidden="1" x14ac:dyDescent="0.35">
      <c r="A440" t="s">
        <v>27</v>
      </c>
      <c r="B440">
        <v>1</v>
      </c>
      <c r="C440">
        <v>3</v>
      </c>
      <c r="D440">
        <v>2</v>
      </c>
      <c r="E440" t="s">
        <v>25</v>
      </c>
      <c r="F440">
        <v>200</v>
      </c>
      <c r="G440">
        <v>1</v>
      </c>
      <c r="H440">
        <v>16</v>
      </c>
      <c r="I440" t="s">
        <v>23</v>
      </c>
      <c r="J440" s="3">
        <v>138.09356</v>
      </c>
      <c r="K440" s="3" t="s">
        <v>24</v>
      </c>
      <c r="L440" s="3" t="s">
        <v>24</v>
      </c>
      <c r="M440" s="3" t="s">
        <v>24</v>
      </c>
      <c r="N440" s="3">
        <v>17499.967000000001</v>
      </c>
      <c r="O440" s="4"/>
      <c r="P440" s="4"/>
      <c r="Q440" s="4"/>
      <c r="R440" s="5">
        <v>0</v>
      </c>
      <c r="S440">
        <v>0</v>
      </c>
      <c r="T440" t="b">
        <v>1</v>
      </c>
      <c r="U440">
        <v>-1</v>
      </c>
      <c r="V440" s="4">
        <v>1.89</v>
      </c>
    </row>
    <row r="441" spans="1:22" hidden="1" x14ac:dyDescent="0.35">
      <c r="A441" t="s">
        <v>27</v>
      </c>
      <c r="B441">
        <v>1</v>
      </c>
      <c r="C441">
        <v>3</v>
      </c>
      <c r="D441">
        <v>2</v>
      </c>
      <c r="E441" t="s">
        <v>25</v>
      </c>
      <c r="F441">
        <v>200</v>
      </c>
      <c r="G441">
        <v>3</v>
      </c>
      <c r="H441">
        <v>16</v>
      </c>
      <c r="I441" t="s">
        <v>23</v>
      </c>
      <c r="J441" s="3">
        <v>131.89655300000001</v>
      </c>
      <c r="K441" s="3">
        <v>17499.967000000001</v>
      </c>
      <c r="L441" s="3">
        <v>19580.759999999998</v>
      </c>
      <c r="M441" s="3">
        <v>17499.967000000001</v>
      </c>
      <c r="N441" s="3">
        <v>17499.967000000001</v>
      </c>
      <c r="O441" s="4">
        <v>0</v>
      </c>
      <c r="P441" s="4">
        <v>11.8903</v>
      </c>
      <c r="Q441" s="4">
        <v>0</v>
      </c>
      <c r="R441" s="5">
        <v>1.2999999999999999E-3</v>
      </c>
      <c r="S441">
        <v>9</v>
      </c>
      <c r="T441" t="b">
        <v>0</v>
      </c>
      <c r="U441">
        <v>5</v>
      </c>
      <c r="V441" s="4">
        <v>4.91</v>
      </c>
    </row>
    <row r="442" spans="1:22" hidden="1" x14ac:dyDescent="0.35">
      <c r="A442" t="s">
        <v>27</v>
      </c>
      <c r="B442">
        <v>1</v>
      </c>
      <c r="C442">
        <v>3</v>
      </c>
      <c r="D442">
        <v>5</v>
      </c>
      <c r="E442" t="s">
        <v>22</v>
      </c>
      <c r="F442">
        <v>50</v>
      </c>
      <c r="G442">
        <v>1</v>
      </c>
      <c r="H442">
        <v>16</v>
      </c>
      <c r="I442" t="s">
        <v>23</v>
      </c>
      <c r="J442" s="3">
        <v>62.789141999999998</v>
      </c>
      <c r="K442" s="3">
        <v>17560.769</v>
      </c>
      <c r="L442" s="3">
        <v>19580.759999999998</v>
      </c>
      <c r="M442" s="3">
        <v>17499.967000000001</v>
      </c>
      <c r="N442" s="3">
        <v>17499.967000000001</v>
      </c>
      <c r="O442" s="4">
        <v>0.34739999999999999</v>
      </c>
      <c r="P442" s="4">
        <v>11.8903</v>
      </c>
      <c r="Q442" s="4">
        <v>0</v>
      </c>
      <c r="R442" s="5">
        <v>0.1721</v>
      </c>
      <c r="S442">
        <v>24</v>
      </c>
      <c r="T442" t="b">
        <v>0</v>
      </c>
      <c r="U442">
        <v>15</v>
      </c>
      <c r="V442" s="4">
        <v>8.77</v>
      </c>
    </row>
    <row r="443" spans="1:22" hidden="1" x14ac:dyDescent="0.35">
      <c r="A443" t="s">
        <v>27</v>
      </c>
      <c r="B443">
        <v>1</v>
      </c>
      <c r="C443">
        <v>3</v>
      </c>
      <c r="D443">
        <v>5</v>
      </c>
      <c r="E443" t="s">
        <v>22</v>
      </c>
      <c r="F443">
        <v>50</v>
      </c>
      <c r="G443">
        <v>3</v>
      </c>
      <c r="H443">
        <v>16</v>
      </c>
      <c r="I443" t="s">
        <v>23</v>
      </c>
      <c r="J443" s="3">
        <v>62.789141999999998</v>
      </c>
      <c r="K443" s="3">
        <v>17560.769</v>
      </c>
      <c r="L443" s="3">
        <v>19580.759999999998</v>
      </c>
      <c r="M443" s="3">
        <v>17499.967000000001</v>
      </c>
      <c r="N443" s="3">
        <v>17499.967000000001</v>
      </c>
      <c r="O443" s="4">
        <v>0.34739999999999999</v>
      </c>
      <c r="P443" s="4">
        <v>11.8903</v>
      </c>
      <c r="Q443" s="4">
        <v>0</v>
      </c>
      <c r="R443" s="5">
        <v>0.1721</v>
      </c>
      <c r="S443">
        <v>24</v>
      </c>
      <c r="T443" t="b">
        <v>0</v>
      </c>
      <c r="U443">
        <v>15</v>
      </c>
      <c r="V443" s="4">
        <v>25.49</v>
      </c>
    </row>
    <row r="444" spans="1:22" hidden="1" x14ac:dyDescent="0.35">
      <c r="A444" t="s">
        <v>27</v>
      </c>
      <c r="B444">
        <v>1</v>
      </c>
      <c r="C444">
        <v>3</v>
      </c>
      <c r="D444">
        <v>5</v>
      </c>
      <c r="E444" t="s">
        <v>22</v>
      </c>
      <c r="F444">
        <v>200</v>
      </c>
      <c r="G444">
        <v>1</v>
      </c>
      <c r="H444">
        <v>16</v>
      </c>
      <c r="I444" t="s">
        <v>23</v>
      </c>
      <c r="J444" s="3">
        <v>61.848343999999997</v>
      </c>
      <c r="K444" s="3">
        <v>17560.769</v>
      </c>
      <c r="L444" s="3">
        <v>19580.759999999998</v>
      </c>
      <c r="M444" s="3">
        <v>17499.967000000001</v>
      </c>
      <c r="N444" s="3">
        <v>17499.967000000001</v>
      </c>
      <c r="O444" s="4">
        <v>0.34739999999999999</v>
      </c>
      <c r="P444" s="4">
        <v>11.8903</v>
      </c>
      <c r="Q444" s="4">
        <v>0</v>
      </c>
      <c r="R444" s="5">
        <v>0.17180000000000001</v>
      </c>
      <c r="S444">
        <v>24</v>
      </c>
      <c r="T444" t="b">
        <v>0</v>
      </c>
      <c r="U444">
        <v>14</v>
      </c>
      <c r="V444" s="4">
        <v>10.73</v>
      </c>
    </row>
    <row r="445" spans="1:22" hidden="1" x14ac:dyDescent="0.35">
      <c r="A445" t="s">
        <v>27</v>
      </c>
      <c r="B445">
        <v>1</v>
      </c>
      <c r="C445">
        <v>3</v>
      </c>
      <c r="D445">
        <v>5</v>
      </c>
      <c r="E445" t="s">
        <v>22</v>
      </c>
      <c r="F445">
        <v>200</v>
      </c>
      <c r="G445">
        <v>3</v>
      </c>
      <c r="H445">
        <v>16</v>
      </c>
      <c r="I445" t="s">
        <v>23</v>
      </c>
      <c r="J445" s="3">
        <v>61.848343999999997</v>
      </c>
      <c r="K445" s="3">
        <v>17560.769</v>
      </c>
      <c r="L445" s="3">
        <v>19580.759999999998</v>
      </c>
      <c r="M445" s="3">
        <v>17499.967000000001</v>
      </c>
      <c r="N445" s="3">
        <v>17499.967000000001</v>
      </c>
      <c r="O445" s="4">
        <v>0.34739999999999999</v>
      </c>
      <c r="P445" s="4">
        <v>11.8903</v>
      </c>
      <c r="Q445" s="4">
        <v>0</v>
      </c>
      <c r="R445" s="5">
        <v>0.17180000000000001</v>
      </c>
      <c r="S445">
        <v>24</v>
      </c>
      <c r="T445" t="b">
        <v>0</v>
      </c>
      <c r="U445">
        <v>14</v>
      </c>
      <c r="V445" s="4">
        <v>30.88</v>
      </c>
    </row>
    <row r="446" spans="1:22" hidden="1" x14ac:dyDescent="0.35">
      <c r="A446" t="s">
        <v>27</v>
      </c>
      <c r="B446">
        <v>1</v>
      </c>
      <c r="C446">
        <v>3</v>
      </c>
      <c r="D446">
        <v>5</v>
      </c>
      <c r="E446" t="s">
        <v>25</v>
      </c>
      <c r="F446">
        <v>50</v>
      </c>
      <c r="G446">
        <v>1</v>
      </c>
      <c r="H446">
        <v>16</v>
      </c>
      <c r="I446" t="s">
        <v>23</v>
      </c>
      <c r="J446" s="3">
        <v>337.66149300000001</v>
      </c>
      <c r="K446" s="3" t="s">
        <v>24</v>
      </c>
      <c r="L446" s="3" t="s">
        <v>24</v>
      </c>
      <c r="M446" s="3" t="s">
        <v>24</v>
      </c>
      <c r="N446" s="3">
        <v>17499.967000000001</v>
      </c>
      <c r="O446" s="4"/>
      <c r="P446" s="4"/>
      <c r="Q446" s="4"/>
      <c r="R446" s="5">
        <v>0</v>
      </c>
      <c r="S446">
        <v>0</v>
      </c>
      <c r="T446" t="b">
        <v>1</v>
      </c>
      <c r="U446">
        <v>-1</v>
      </c>
      <c r="V446" s="4">
        <v>1.94</v>
      </c>
    </row>
    <row r="447" spans="1:22" hidden="1" x14ac:dyDescent="0.35">
      <c r="A447" t="s">
        <v>27</v>
      </c>
      <c r="B447">
        <v>1</v>
      </c>
      <c r="C447">
        <v>3</v>
      </c>
      <c r="D447">
        <v>5</v>
      </c>
      <c r="E447" t="s">
        <v>25</v>
      </c>
      <c r="F447">
        <v>50</v>
      </c>
      <c r="G447">
        <v>3</v>
      </c>
      <c r="H447">
        <v>16</v>
      </c>
      <c r="I447" t="s">
        <v>23</v>
      </c>
      <c r="J447" s="3">
        <v>336.29381000000001</v>
      </c>
      <c r="K447" s="3">
        <v>17499.967000000001</v>
      </c>
      <c r="L447" s="3">
        <v>17965.006000000001</v>
      </c>
      <c r="M447" s="3">
        <v>17499.967000000001</v>
      </c>
      <c r="N447" s="3">
        <v>17499.967000000001</v>
      </c>
      <c r="O447" s="4">
        <v>0</v>
      </c>
      <c r="P447" s="4">
        <v>2.6574</v>
      </c>
      <c r="Q447" s="4">
        <v>0</v>
      </c>
      <c r="R447" s="5">
        <v>4.0000000000000002E-4</v>
      </c>
      <c r="S447">
        <v>4</v>
      </c>
      <c r="T447" t="b">
        <v>0</v>
      </c>
      <c r="U447">
        <v>2</v>
      </c>
      <c r="V447" s="4">
        <v>4.8099999999999996</v>
      </c>
    </row>
    <row r="448" spans="1:22" hidden="1" x14ac:dyDescent="0.35">
      <c r="A448" t="s">
        <v>27</v>
      </c>
      <c r="B448">
        <v>1</v>
      </c>
      <c r="C448">
        <v>3</v>
      </c>
      <c r="D448">
        <v>5</v>
      </c>
      <c r="E448" t="s">
        <v>25</v>
      </c>
      <c r="F448">
        <v>200</v>
      </c>
      <c r="G448">
        <v>1</v>
      </c>
      <c r="H448">
        <v>16</v>
      </c>
      <c r="I448" t="s">
        <v>23</v>
      </c>
      <c r="J448" s="3">
        <v>337.66149300000001</v>
      </c>
      <c r="K448" s="3" t="s">
        <v>24</v>
      </c>
      <c r="L448" s="3" t="s">
        <v>24</v>
      </c>
      <c r="M448" s="3" t="s">
        <v>24</v>
      </c>
      <c r="N448" s="3">
        <v>17499.967000000001</v>
      </c>
      <c r="O448" s="4"/>
      <c r="P448" s="4"/>
      <c r="Q448" s="4"/>
      <c r="R448" s="5">
        <v>0</v>
      </c>
      <c r="S448">
        <v>0</v>
      </c>
      <c r="T448" t="b">
        <v>1</v>
      </c>
      <c r="U448">
        <v>-1</v>
      </c>
      <c r="V448" s="4">
        <v>1.88</v>
      </c>
    </row>
    <row r="449" spans="1:22" hidden="1" x14ac:dyDescent="0.35">
      <c r="A449" t="s">
        <v>27</v>
      </c>
      <c r="B449">
        <v>1</v>
      </c>
      <c r="C449">
        <v>3</v>
      </c>
      <c r="D449">
        <v>5</v>
      </c>
      <c r="E449" t="s">
        <v>25</v>
      </c>
      <c r="F449">
        <v>200</v>
      </c>
      <c r="G449">
        <v>3</v>
      </c>
      <c r="H449">
        <v>16</v>
      </c>
      <c r="I449" t="s">
        <v>23</v>
      </c>
      <c r="J449" s="3">
        <v>336.29381000000001</v>
      </c>
      <c r="K449" s="3">
        <v>17499.967000000001</v>
      </c>
      <c r="L449" s="3">
        <v>17965.006000000001</v>
      </c>
      <c r="M449" s="3">
        <v>17499.967000000001</v>
      </c>
      <c r="N449" s="3">
        <v>17499.967000000001</v>
      </c>
      <c r="O449" s="4">
        <v>0</v>
      </c>
      <c r="P449" s="4">
        <v>2.6574</v>
      </c>
      <c r="Q449" s="4">
        <v>0</v>
      </c>
      <c r="R449" s="5">
        <v>4.0000000000000002E-4</v>
      </c>
      <c r="S449">
        <v>4</v>
      </c>
      <c r="T449" t="b">
        <v>0</v>
      </c>
      <c r="U449">
        <v>2</v>
      </c>
      <c r="V449" s="4">
        <v>5.09</v>
      </c>
    </row>
    <row r="450" spans="1:22" hidden="1" x14ac:dyDescent="0.35">
      <c r="A450" t="s">
        <v>27</v>
      </c>
      <c r="B450">
        <v>1</v>
      </c>
      <c r="C450">
        <v>3</v>
      </c>
      <c r="D450">
        <v>10</v>
      </c>
      <c r="E450" t="s">
        <v>22</v>
      </c>
      <c r="F450">
        <v>50</v>
      </c>
      <c r="G450">
        <v>1</v>
      </c>
      <c r="H450">
        <v>16</v>
      </c>
      <c r="I450" t="s">
        <v>23</v>
      </c>
      <c r="J450" s="3">
        <v>99.203993999999994</v>
      </c>
      <c r="K450" s="3">
        <v>17499.967000000001</v>
      </c>
      <c r="L450" s="3">
        <v>19697.387999999999</v>
      </c>
      <c r="M450" s="3">
        <v>17499.967000000001</v>
      </c>
      <c r="N450" s="3">
        <v>17499.967000000001</v>
      </c>
      <c r="O450" s="4">
        <v>0</v>
      </c>
      <c r="P450" s="4">
        <v>12.556699999999999</v>
      </c>
      <c r="Q450" s="4">
        <v>0</v>
      </c>
      <c r="R450" s="5">
        <v>0.22239999999999999</v>
      </c>
      <c r="S450">
        <v>24</v>
      </c>
      <c r="T450" t="b">
        <v>0</v>
      </c>
      <c r="U450">
        <v>17</v>
      </c>
      <c r="V450" s="4">
        <v>8.7799999999999994</v>
      </c>
    </row>
    <row r="451" spans="1:22" hidden="1" x14ac:dyDescent="0.35">
      <c r="A451" t="s">
        <v>27</v>
      </c>
      <c r="B451">
        <v>1</v>
      </c>
      <c r="C451">
        <v>3</v>
      </c>
      <c r="D451">
        <v>10</v>
      </c>
      <c r="E451" t="s">
        <v>22</v>
      </c>
      <c r="F451">
        <v>50</v>
      </c>
      <c r="G451">
        <v>3</v>
      </c>
      <c r="H451">
        <v>16</v>
      </c>
      <c r="I451" t="s">
        <v>23</v>
      </c>
      <c r="J451" s="3">
        <v>99.203993999999994</v>
      </c>
      <c r="K451" s="3">
        <v>17499.967000000001</v>
      </c>
      <c r="L451" s="3">
        <v>19697.387999999999</v>
      </c>
      <c r="M451" s="3">
        <v>17499.967000000001</v>
      </c>
      <c r="N451" s="3">
        <v>17499.967000000001</v>
      </c>
      <c r="O451" s="4">
        <v>0</v>
      </c>
      <c r="P451" s="4">
        <v>12.556699999999999</v>
      </c>
      <c r="Q451" s="4">
        <v>0</v>
      </c>
      <c r="R451" s="5">
        <v>0.22239999999999999</v>
      </c>
      <c r="S451">
        <v>24</v>
      </c>
      <c r="T451" t="b">
        <v>0</v>
      </c>
      <c r="U451">
        <v>17</v>
      </c>
      <c r="V451" s="4">
        <v>26.8</v>
      </c>
    </row>
    <row r="452" spans="1:22" hidden="1" x14ac:dyDescent="0.35">
      <c r="A452" t="s">
        <v>27</v>
      </c>
      <c r="B452">
        <v>1</v>
      </c>
      <c r="C452">
        <v>3</v>
      </c>
      <c r="D452">
        <v>10</v>
      </c>
      <c r="E452" t="s">
        <v>22</v>
      </c>
      <c r="F452">
        <v>200</v>
      </c>
      <c r="G452">
        <v>1</v>
      </c>
      <c r="H452">
        <v>16</v>
      </c>
      <c r="I452" t="s">
        <v>23</v>
      </c>
      <c r="J452" s="3">
        <v>98.420935999999998</v>
      </c>
      <c r="K452" s="3">
        <v>17499.967000000001</v>
      </c>
      <c r="L452" s="3">
        <v>19697.387999999999</v>
      </c>
      <c r="M452" s="3">
        <v>17499.967000000001</v>
      </c>
      <c r="N452" s="3">
        <v>17499.967000000001</v>
      </c>
      <c r="O452" s="4">
        <v>0</v>
      </c>
      <c r="P452" s="4">
        <v>12.556699999999999</v>
      </c>
      <c r="Q452" s="4">
        <v>0</v>
      </c>
      <c r="R452" s="5">
        <v>0.2225</v>
      </c>
      <c r="S452">
        <v>24</v>
      </c>
      <c r="T452" t="b">
        <v>0</v>
      </c>
      <c r="U452">
        <v>17</v>
      </c>
      <c r="V452" s="4">
        <v>10.53</v>
      </c>
    </row>
    <row r="453" spans="1:22" hidden="1" x14ac:dyDescent="0.35">
      <c r="A453" t="s">
        <v>27</v>
      </c>
      <c r="B453">
        <v>1</v>
      </c>
      <c r="C453">
        <v>3</v>
      </c>
      <c r="D453">
        <v>10</v>
      </c>
      <c r="E453" t="s">
        <v>22</v>
      </c>
      <c r="F453">
        <v>200</v>
      </c>
      <c r="G453">
        <v>3</v>
      </c>
      <c r="H453">
        <v>16</v>
      </c>
      <c r="I453" t="s">
        <v>23</v>
      </c>
      <c r="J453" s="3">
        <v>98.420935999999998</v>
      </c>
      <c r="K453" s="3">
        <v>17499.967000000001</v>
      </c>
      <c r="L453" s="3">
        <v>19697.387999999999</v>
      </c>
      <c r="M453" s="3">
        <v>17499.967000000001</v>
      </c>
      <c r="N453" s="3">
        <v>17499.967000000001</v>
      </c>
      <c r="O453" s="4">
        <v>0</v>
      </c>
      <c r="P453" s="4">
        <v>12.556699999999999</v>
      </c>
      <c r="Q453" s="4">
        <v>0</v>
      </c>
      <c r="R453" s="5">
        <v>0.2225</v>
      </c>
      <c r="S453">
        <v>24</v>
      </c>
      <c r="T453" t="b">
        <v>0</v>
      </c>
      <c r="U453">
        <v>17</v>
      </c>
      <c r="V453" s="4">
        <v>29.38</v>
      </c>
    </row>
    <row r="454" spans="1:22" hidden="1" x14ac:dyDescent="0.35">
      <c r="A454" t="s">
        <v>27</v>
      </c>
      <c r="B454">
        <v>1</v>
      </c>
      <c r="C454">
        <v>3</v>
      </c>
      <c r="D454">
        <v>10</v>
      </c>
      <c r="E454" t="s">
        <v>25</v>
      </c>
      <c r="F454">
        <v>50</v>
      </c>
      <c r="G454">
        <v>1</v>
      </c>
      <c r="H454">
        <v>16</v>
      </c>
      <c r="I454" t="s">
        <v>23</v>
      </c>
      <c r="J454" s="3">
        <v>668.184844</v>
      </c>
      <c r="K454" s="3" t="s">
        <v>24</v>
      </c>
      <c r="L454" s="3" t="s">
        <v>24</v>
      </c>
      <c r="M454" s="3" t="s">
        <v>24</v>
      </c>
      <c r="N454" s="3">
        <v>17499.967000000001</v>
      </c>
      <c r="O454" s="4"/>
      <c r="P454" s="4"/>
      <c r="Q454" s="4"/>
      <c r="R454" s="5">
        <v>0</v>
      </c>
      <c r="S454">
        <v>0</v>
      </c>
      <c r="T454" t="b">
        <v>1</v>
      </c>
      <c r="U454">
        <v>-1</v>
      </c>
      <c r="V454" s="4">
        <v>1.97</v>
      </c>
    </row>
    <row r="455" spans="1:22" hidden="1" x14ac:dyDescent="0.35">
      <c r="A455" t="s">
        <v>27</v>
      </c>
      <c r="B455">
        <v>1</v>
      </c>
      <c r="C455">
        <v>3</v>
      </c>
      <c r="D455">
        <v>10</v>
      </c>
      <c r="E455" t="s">
        <v>25</v>
      </c>
      <c r="F455">
        <v>50</v>
      </c>
      <c r="G455">
        <v>3</v>
      </c>
      <c r="H455">
        <v>16</v>
      </c>
      <c r="I455" t="s">
        <v>23</v>
      </c>
      <c r="J455" s="3">
        <v>652.27773300000001</v>
      </c>
      <c r="K455" s="3">
        <v>17499.967000000001</v>
      </c>
      <c r="L455" s="3">
        <v>21620.526999999998</v>
      </c>
      <c r="M455" s="3">
        <v>17499.967000000001</v>
      </c>
      <c r="N455" s="3">
        <v>17499.967000000001</v>
      </c>
      <c r="O455" s="4">
        <v>0</v>
      </c>
      <c r="P455" s="4">
        <v>23.546099999999999</v>
      </c>
      <c r="Q455" s="4">
        <v>0</v>
      </c>
      <c r="R455" s="5">
        <v>8.9999999999999998E-4</v>
      </c>
      <c r="S455">
        <v>7</v>
      </c>
      <c r="T455" t="b">
        <v>0</v>
      </c>
      <c r="U455">
        <v>6</v>
      </c>
      <c r="V455" s="4">
        <v>4.91</v>
      </c>
    </row>
    <row r="456" spans="1:22" hidden="1" x14ac:dyDescent="0.35">
      <c r="A456" t="s">
        <v>27</v>
      </c>
      <c r="B456">
        <v>1</v>
      </c>
      <c r="C456">
        <v>3</v>
      </c>
      <c r="D456">
        <v>10</v>
      </c>
      <c r="E456" t="s">
        <v>25</v>
      </c>
      <c r="F456">
        <v>200</v>
      </c>
      <c r="G456">
        <v>1</v>
      </c>
      <c r="H456">
        <v>16</v>
      </c>
      <c r="I456" t="s">
        <v>23</v>
      </c>
      <c r="J456" s="3">
        <v>668.184844</v>
      </c>
      <c r="K456" s="3" t="s">
        <v>24</v>
      </c>
      <c r="L456" s="3" t="s">
        <v>24</v>
      </c>
      <c r="M456" s="3" t="s">
        <v>24</v>
      </c>
      <c r="N456" s="3">
        <v>17499.967000000001</v>
      </c>
      <c r="O456" s="4"/>
      <c r="P456" s="4"/>
      <c r="Q456" s="4"/>
      <c r="R456" s="5">
        <v>0</v>
      </c>
      <c r="S456">
        <v>0</v>
      </c>
      <c r="T456" t="b">
        <v>1</v>
      </c>
      <c r="U456">
        <v>-1</v>
      </c>
      <c r="V456" s="4">
        <v>1.95</v>
      </c>
    </row>
    <row r="457" spans="1:22" hidden="1" x14ac:dyDescent="0.35">
      <c r="A457" t="s">
        <v>27</v>
      </c>
      <c r="B457">
        <v>1</v>
      </c>
      <c r="C457">
        <v>3</v>
      </c>
      <c r="D457">
        <v>10</v>
      </c>
      <c r="E457" t="s">
        <v>25</v>
      </c>
      <c r="F457">
        <v>200</v>
      </c>
      <c r="G457">
        <v>3</v>
      </c>
      <c r="H457">
        <v>16</v>
      </c>
      <c r="I457" t="s">
        <v>23</v>
      </c>
      <c r="J457" s="3">
        <v>652.27773300000001</v>
      </c>
      <c r="K457" s="3">
        <v>17499.967000000001</v>
      </c>
      <c r="L457" s="3">
        <v>21620.526999999998</v>
      </c>
      <c r="M457" s="3">
        <v>17499.967000000001</v>
      </c>
      <c r="N457" s="3">
        <v>17499.967000000001</v>
      </c>
      <c r="O457" s="4">
        <v>0</v>
      </c>
      <c r="P457" s="4">
        <v>23.546099999999999</v>
      </c>
      <c r="Q457" s="4">
        <v>0</v>
      </c>
      <c r="R457" s="5">
        <v>8.9999999999999998E-4</v>
      </c>
      <c r="S457">
        <v>7</v>
      </c>
      <c r="T457" t="b">
        <v>0</v>
      </c>
      <c r="U457">
        <v>6</v>
      </c>
      <c r="V457" s="4">
        <v>4.91</v>
      </c>
    </row>
    <row r="458" spans="1:22" hidden="1" x14ac:dyDescent="0.35">
      <c r="A458" t="s">
        <v>27</v>
      </c>
      <c r="B458">
        <v>1</v>
      </c>
      <c r="C458">
        <v>5</v>
      </c>
      <c r="D458">
        <v>2</v>
      </c>
      <c r="E458" t="s">
        <v>22</v>
      </c>
      <c r="F458">
        <v>50</v>
      </c>
      <c r="G458">
        <v>1</v>
      </c>
      <c r="H458">
        <v>16</v>
      </c>
      <c r="I458" t="s">
        <v>23</v>
      </c>
      <c r="J458" s="3">
        <v>115.337551</v>
      </c>
      <c r="K458" s="3">
        <v>17560.769</v>
      </c>
      <c r="L458" s="3">
        <v>19697.387999999999</v>
      </c>
      <c r="M458" s="3">
        <v>17499.967000000001</v>
      </c>
      <c r="N458" s="3">
        <v>17499.967000000001</v>
      </c>
      <c r="O458" s="4">
        <v>0.34739999999999999</v>
      </c>
      <c r="P458" s="4">
        <v>12.556699999999999</v>
      </c>
      <c r="Q458" s="4">
        <v>0</v>
      </c>
      <c r="R458" s="5">
        <v>6.8999999999999999E-3</v>
      </c>
      <c r="S458">
        <v>24</v>
      </c>
      <c r="T458" t="b">
        <v>0</v>
      </c>
      <c r="U458">
        <v>18</v>
      </c>
      <c r="V458" s="4">
        <v>11.74</v>
      </c>
    </row>
    <row r="459" spans="1:22" hidden="1" x14ac:dyDescent="0.35">
      <c r="A459" t="s">
        <v>27</v>
      </c>
      <c r="B459">
        <v>1</v>
      </c>
      <c r="C459">
        <v>5</v>
      </c>
      <c r="D459">
        <v>2</v>
      </c>
      <c r="E459" t="s">
        <v>22</v>
      </c>
      <c r="F459">
        <v>50</v>
      </c>
      <c r="G459">
        <v>3</v>
      </c>
      <c r="H459">
        <v>16</v>
      </c>
      <c r="I459" t="s">
        <v>23</v>
      </c>
      <c r="J459" s="3">
        <v>115.337551</v>
      </c>
      <c r="K459" s="3">
        <v>17560.769</v>
      </c>
      <c r="L459" s="3">
        <v>19697.387999999999</v>
      </c>
      <c r="M459" s="3">
        <v>17499.967000000001</v>
      </c>
      <c r="N459" s="3">
        <v>17499.967000000001</v>
      </c>
      <c r="O459" s="4">
        <v>0.34739999999999999</v>
      </c>
      <c r="P459" s="4">
        <v>12.556699999999999</v>
      </c>
      <c r="Q459" s="4">
        <v>0</v>
      </c>
      <c r="R459" s="5">
        <v>6.8999999999999999E-3</v>
      </c>
      <c r="S459">
        <v>24</v>
      </c>
      <c r="T459" t="b">
        <v>0</v>
      </c>
      <c r="U459">
        <v>18</v>
      </c>
      <c r="V459" s="4">
        <v>34.1</v>
      </c>
    </row>
    <row r="460" spans="1:22" hidden="1" x14ac:dyDescent="0.35">
      <c r="A460" t="s">
        <v>27</v>
      </c>
      <c r="B460">
        <v>1</v>
      </c>
      <c r="C460">
        <v>5</v>
      </c>
      <c r="D460">
        <v>2</v>
      </c>
      <c r="E460" t="s">
        <v>22</v>
      </c>
      <c r="F460">
        <v>200</v>
      </c>
      <c r="G460">
        <v>1</v>
      </c>
      <c r="H460">
        <v>16</v>
      </c>
      <c r="I460" t="s">
        <v>23</v>
      </c>
      <c r="J460" s="3">
        <v>114.022741</v>
      </c>
      <c r="K460" s="3">
        <v>17560.769</v>
      </c>
      <c r="L460" s="3">
        <v>17787.576000000001</v>
      </c>
      <c r="M460" s="3">
        <v>17499.967000000001</v>
      </c>
      <c r="N460" s="3">
        <v>17499.967000000001</v>
      </c>
      <c r="O460" s="4">
        <v>0.34739999999999999</v>
      </c>
      <c r="P460" s="4">
        <v>1.6435</v>
      </c>
      <c r="Q460" s="4">
        <v>0</v>
      </c>
      <c r="R460" s="5">
        <v>7.3000000000000001E-3</v>
      </c>
      <c r="S460">
        <v>23</v>
      </c>
      <c r="T460" t="b">
        <v>0</v>
      </c>
      <c r="U460">
        <v>18</v>
      </c>
      <c r="V460" s="4">
        <v>19</v>
      </c>
    </row>
    <row r="461" spans="1:22" hidden="1" x14ac:dyDescent="0.35">
      <c r="A461" t="s">
        <v>27</v>
      </c>
      <c r="B461">
        <v>1</v>
      </c>
      <c r="C461">
        <v>5</v>
      </c>
      <c r="D461">
        <v>2</v>
      </c>
      <c r="E461" t="s">
        <v>22</v>
      </c>
      <c r="F461">
        <v>200</v>
      </c>
      <c r="G461">
        <v>3</v>
      </c>
      <c r="H461">
        <v>16</v>
      </c>
      <c r="I461" t="s">
        <v>23</v>
      </c>
      <c r="J461" s="3">
        <v>114.022741</v>
      </c>
      <c r="K461" s="3">
        <v>17560.769</v>
      </c>
      <c r="L461" s="3">
        <v>17787.576000000001</v>
      </c>
      <c r="M461" s="3">
        <v>17499.967000000001</v>
      </c>
      <c r="N461" s="3">
        <v>17499.967000000001</v>
      </c>
      <c r="O461" s="4">
        <v>0.34739999999999999</v>
      </c>
      <c r="P461" s="4">
        <v>1.6435</v>
      </c>
      <c r="Q461" s="4">
        <v>0</v>
      </c>
      <c r="R461" s="5">
        <v>7.3000000000000001E-3</v>
      </c>
      <c r="S461">
        <v>23</v>
      </c>
      <c r="T461" t="b">
        <v>0</v>
      </c>
      <c r="U461">
        <v>18</v>
      </c>
      <c r="V461" s="4">
        <v>58.17</v>
      </c>
    </row>
    <row r="462" spans="1:22" hidden="1" x14ac:dyDescent="0.35">
      <c r="A462" t="s">
        <v>27</v>
      </c>
      <c r="B462">
        <v>1</v>
      </c>
      <c r="C462">
        <v>5</v>
      </c>
      <c r="D462">
        <v>2</v>
      </c>
      <c r="E462" t="s">
        <v>25</v>
      </c>
      <c r="F462">
        <v>50</v>
      </c>
      <c r="G462">
        <v>1</v>
      </c>
      <c r="H462">
        <v>16</v>
      </c>
      <c r="I462" t="s">
        <v>23</v>
      </c>
      <c r="J462" s="3">
        <v>134.54150100000001</v>
      </c>
      <c r="K462" s="3">
        <v>19697.387999999999</v>
      </c>
      <c r="L462" s="3">
        <v>19710.715</v>
      </c>
      <c r="M462" s="3">
        <v>19697.387999999999</v>
      </c>
      <c r="N462" s="3">
        <v>17499.967000000001</v>
      </c>
      <c r="O462" s="4">
        <v>12.556699999999999</v>
      </c>
      <c r="P462" s="4">
        <v>12.632899999999999</v>
      </c>
      <c r="Q462" s="4">
        <v>12.556699999999999</v>
      </c>
      <c r="R462" s="5">
        <v>1.5E-3</v>
      </c>
      <c r="S462">
        <v>11</v>
      </c>
      <c r="T462" t="b">
        <v>0</v>
      </c>
      <c r="U462">
        <v>3</v>
      </c>
      <c r="V462" s="4">
        <v>124.15</v>
      </c>
    </row>
    <row r="463" spans="1:22" hidden="1" x14ac:dyDescent="0.35">
      <c r="A463" t="s">
        <v>27</v>
      </c>
      <c r="B463">
        <v>1</v>
      </c>
      <c r="C463">
        <v>5</v>
      </c>
      <c r="D463">
        <v>2</v>
      </c>
      <c r="E463" t="s">
        <v>25</v>
      </c>
      <c r="F463">
        <v>50</v>
      </c>
      <c r="G463">
        <v>3</v>
      </c>
      <c r="H463">
        <v>16</v>
      </c>
      <c r="I463" t="s">
        <v>23</v>
      </c>
      <c r="J463" s="3">
        <v>134.54150100000001</v>
      </c>
      <c r="K463" s="3">
        <v>19697.387999999999</v>
      </c>
      <c r="L463" s="3">
        <v>19710.715</v>
      </c>
      <c r="M463" s="3">
        <v>19697.387999999999</v>
      </c>
      <c r="N463" s="3">
        <v>17499.967000000001</v>
      </c>
      <c r="O463" s="4">
        <v>12.556699999999999</v>
      </c>
      <c r="P463" s="4">
        <v>12.632899999999999</v>
      </c>
      <c r="Q463" s="4">
        <v>12.556699999999999</v>
      </c>
      <c r="R463" s="5">
        <v>1.5E-3</v>
      </c>
      <c r="S463">
        <v>11</v>
      </c>
      <c r="T463" t="b">
        <v>0</v>
      </c>
      <c r="U463">
        <v>3</v>
      </c>
      <c r="V463" s="4">
        <v>128.33000000000001</v>
      </c>
    </row>
    <row r="464" spans="1:22" hidden="1" x14ac:dyDescent="0.35">
      <c r="A464" t="s">
        <v>27</v>
      </c>
      <c r="B464">
        <v>1</v>
      </c>
      <c r="C464">
        <v>5</v>
      </c>
      <c r="D464">
        <v>2</v>
      </c>
      <c r="E464" t="s">
        <v>25</v>
      </c>
      <c r="F464">
        <v>200</v>
      </c>
      <c r="G464">
        <v>1</v>
      </c>
      <c r="H464">
        <v>16</v>
      </c>
      <c r="I464" t="s">
        <v>23</v>
      </c>
      <c r="J464" s="3">
        <v>134.85131699999999</v>
      </c>
      <c r="K464" s="3">
        <v>17965.006000000001</v>
      </c>
      <c r="L464" s="3">
        <v>19710.715</v>
      </c>
      <c r="M464" s="3">
        <v>17965.006000000001</v>
      </c>
      <c r="N464" s="3">
        <v>17499.967000000001</v>
      </c>
      <c r="O464" s="4">
        <v>2.6574</v>
      </c>
      <c r="P464" s="4">
        <v>12.632899999999999</v>
      </c>
      <c r="Q464" s="4">
        <v>2.6574</v>
      </c>
      <c r="R464" s="5">
        <v>1.8E-3</v>
      </c>
      <c r="S464">
        <v>12</v>
      </c>
      <c r="T464" t="b">
        <v>0</v>
      </c>
      <c r="U464">
        <v>9</v>
      </c>
      <c r="V464" s="4">
        <v>173.29</v>
      </c>
    </row>
    <row r="465" spans="1:22" hidden="1" x14ac:dyDescent="0.35">
      <c r="A465" t="s">
        <v>27</v>
      </c>
      <c r="B465">
        <v>1</v>
      </c>
      <c r="C465">
        <v>5</v>
      </c>
      <c r="D465">
        <v>2</v>
      </c>
      <c r="E465" t="s">
        <v>25</v>
      </c>
      <c r="F465">
        <v>200</v>
      </c>
      <c r="G465">
        <v>3</v>
      </c>
      <c r="H465">
        <v>16</v>
      </c>
      <c r="I465" t="s">
        <v>23</v>
      </c>
      <c r="J465" s="3">
        <v>134.85131699999999</v>
      </c>
      <c r="K465" s="3">
        <v>17965.006000000001</v>
      </c>
      <c r="L465" s="3">
        <v>19710.715</v>
      </c>
      <c r="M465" s="3">
        <v>17965.006000000001</v>
      </c>
      <c r="N465" s="3">
        <v>17499.967000000001</v>
      </c>
      <c r="O465" s="4">
        <v>2.6574</v>
      </c>
      <c r="P465" s="4">
        <v>12.632899999999999</v>
      </c>
      <c r="Q465" s="4">
        <v>2.6574</v>
      </c>
      <c r="R465" s="5">
        <v>1.8E-3</v>
      </c>
      <c r="S465">
        <v>12</v>
      </c>
      <c r="T465" t="b">
        <v>0</v>
      </c>
      <c r="U465">
        <v>9</v>
      </c>
      <c r="V465" s="4">
        <v>178.8</v>
      </c>
    </row>
    <row r="466" spans="1:22" hidden="1" x14ac:dyDescent="0.35">
      <c r="A466" t="s">
        <v>27</v>
      </c>
      <c r="B466">
        <v>1</v>
      </c>
      <c r="C466">
        <v>5</v>
      </c>
      <c r="D466">
        <v>5</v>
      </c>
      <c r="E466" t="s">
        <v>22</v>
      </c>
      <c r="F466">
        <v>50</v>
      </c>
      <c r="G466">
        <v>1</v>
      </c>
      <c r="H466">
        <v>16</v>
      </c>
      <c r="I466" t="s">
        <v>23</v>
      </c>
      <c r="J466" s="3">
        <v>219.34796600000001</v>
      </c>
      <c r="K466" s="3">
        <v>17499.967000000001</v>
      </c>
      <c r="L466" s="3">
        <v>19827.343000000001</v>
      </c>
      <c r="M466" s="3">
        <v>17499.967000000001</v>
      </c>
      <c r="N466" s="3">
        <v>17499.967000000001</v>
      </c>
      <c r="O466" s="4">
        <v>0</v>
      </c>
      <c r="P466" s="4">
        <v>13.299300000000001</v>
      </c>
      <c r="Q466" s="4">
        <v>0</v>
      </c>
      <c r="R466" s="5">
        <v>2.1299999999999999E-2</v>
      </c>
      <c r="S466">
        <v>24</v>
      </c>
      <c r="T466" t="b">
        <v>0</v>
      </c>
      <c r="U466">
        <v>12</v>
      </c>
      <c r="V466" s="4">
        <v>11.31</v>
      </c>
    </row>
    <row r="467" spans="1:22" hidden="1" x14ac:dyDescent="0.35">
      <c r="A467" t="s">
        <v>27</v>
      </c>
      <c r="B467">
        <v>1</v>
      </c>
      <c r="C467">
        <v>5</v>
      </c>
      <c r="D467">
        <v>5</v>
      </c>
      <c r="E467" t="s">
        <v>22</v>
      </c>
      <c r="F467">
        <v>50</v>
      </c>
      <c r="G467">
        <v>3</v>
      </c>
      <c r="H467">
        <v>16</v>
      </c>
      <c r="I467" t="s">
        <v>23</v>
      </c>
      <c r="J467" s="3">
        <v>110.839911</v>
      </c>
      <c r="K467" s="3">
        <v>17787.576000000001</v>
      </c>
      <c r="L467" s="3">
        <v>21443.097000000002</v>
      </c>
      <c r="M467" s="3">
        <v>17499.967000000001</v>
      </c>
      <c r="N467" s="3">
        <v>17499.967000000001</v>
      </c>
      <c r="O467" s="4">
        <v>1.6435</v>
      </c>
      <c r="P467" s="4">
        <v>22.5322</v>
      </c>
      <c r="Q467" s="4">
        <v>0</v>
      </c>
      <c r="R467" s="5">
        <v>4.1700000000000001E-2</v>
      </c>
      <c r="S467">
        <v>24</v>
      </c>
      <c r="T467" t="b">
        <v>0</v>
      </c>
      <c r="U467">
        <v>23</v>
      </c>
      <c r="V467" s="4">
        <v>33.14</v>
      </c>
    </row>
    <row r="468" spans="1:22" hidden="1" x14ac:dyDescent="0.35">
      <c r="A468" t="s">
        <v>27</v>
      </c>
      <c r="B468">
        <v>1</v>
      </c>
      <c r="C468">
        <v>5</v>
      </c>
      <c r="D468">
        <v>5</v>
      </c>
      <c r="E468" t="s">
        <v>22</v>
      </c>
      <c r="F468">
        <v>200</v>
      </c>
      <c r="G468">
        <v>1</v>
      </c>
      <c r="H468">
        <v>16</v>
      </c>
      <c r="I468" t="s">
        <v>23</v>
      </c>
      <c r="J468" s="3">
        <v>217.27658500000001</v>
      </c>
      <c r="K468" s="3">
        <v>17499.967000000001</v>
      </c>
      <c r="L468" s="3">
        <v>21847.333999999999</v>
      </c>
      <c r="M468" s="3">
        <v>17499.967000000001</v>
      </c>
      <c r="N468" s="3">
        <v>17499.967000000001</v>
      </c>
      <c r="O468" s="4">
        <v>0</v>
      </c>
      <c r="P468" s="4">
        <v>24.842099999999999</v>
      </c>
      <c r="Q468" s="4">
        <v>0</v>
      </c>
      <c r="R468" s="5">
        <v>2.0500000000000001E-2</v>
      </c>
      <c r="S468">
        <v>24</v>
      </c>
      <c r="T468" t="b">
        <v>0</v>
      </c>
      <c r="U468">
        <v>11</v>
      </c>
      <c r="V468" s="4">
        <v>17.559999999999999</v>
      </c>
    </row>
    <row r="469" spans="1:22" hidden="1" x14ac:dyDescent="0.35">
      <c r="A469" t="s">
        <v>27</v>
      </c>
      <c r="B469">
        <v>1</v>
      </c>
      <c r="C469">
        <v>5</v>
      </c>
      <c r="D469">
        <v>5</v>
      </c>
      <c r="E469" t="s">
        <v>22</v>
      </c>
      <c r="F469">
        <v>200</v>
      </c>
      <c r="G469">
        <v>3</v>
      </c>
      <c r="H469">
        <v>16</v>
      </c>
      <c r="I469" t="s">
        <v>23</v>
      </c>
      <c r="J469" s="3">
        <v>107.35711000000001</v>
      </c>
      <c r="K469" s="3">
        <v>17787.576000000001</v>
      </c>
      <c r="L469" s="3">
        <v>21443.097000000002</v>
      </c>
      <c r="M469" s="3">
        <v>17499.967000000001</v>
      </c>
      <c r="N469" s="3">
        <v>17499.967000000001</v>
      </c>
      <c r="O469" s="4">
        <v>1.6435</v>
      </c>
      <c r="P469" s="4">
        <v>22.5322</v>
      </c>
      <c r="Q469" s="4">
        <v>0</v>
      </c>
      <c r="R469" s="5">
        <v>4.5100000000000001E-2</v>
      </c>
      <c r="S469">
        <v>24</v>
      </c>
      <c r="T469" t="b">
        <v>0</v>
      </c>
      <c r="U469">
        <v>14</v>
      </c>
      <c r="V469" s="4">
        <v>55.52</v>
      </c>
    </row>
    <row r="470" spans="1:22" hidden="1" x14ac:dyDescent="0.35">
      <c r="A470" t="s">
        <v>27</v>
      </c>
      <c r="B470">
        <v>1</v>
      </c>
      <c r="C470">
        <v>5</v>
      </c>
      <c r="D470">
        <v>5</v>
      </c>
      <c r="E470" t="s">
        <v>25</v>
      </c>
      <c r="F470">
        <v>50</v>
      </c>
      <c r="G470">
        <v>1</v>
      </c>
      <c r="H470">
        <v>16</v>
      </c>
      <c r="I470" t="s">
        <v>23</v>
      </c>
      <c r="J470" s="3">
        <v>334.91938499999998</v>
      </c>
      <c r="K470" s="3">
        <v>17499.967000000001</v>
      </c>
      <c r="L470" s="3">
        <v>21443.097000000002</v>
      </c>
      <c r="M470" s="3">
        <v>17499.967000000001</v>
      </c>
      <c r="N470" s="3">
        <v>17499.967000000001</v>
      </c>
      <c r="O470" s="4">
        <v>0</v>
      </c>
      <c r="P470" s="4">
        <v>22.5322</v>
      </c>
      <c r="Q470" s="4">
        <v>0</v>
      </c>
      <c r="R470" s="5">
        <v>6.4999999999999997E-3</v>
      </c>
      <c r="S470">
        <v>23</v>
      </c>
      <c r="T470" t="b">
        <v>0</v>
      </c>
      <c r="U470">
        <v>3</v>
      </c>
      <c r="V470" s="4">
        <v>3.15</v>
      </c>
    </row>
    <row r="471" spans="1:22" hidden="1" x14ac:dyDescent="0.35">
      <c r="A471" t="s">
        <v>27</v>
      </c>
      <c r="B471">
        <v>1</v>
      </c>
      <c r="C471">
        <v>5</v>
      </c>
      <c r="D471">
        <v>5</v>
      </c>
      <c r="E471" t="s">
        <v>25</v>
      </c>
      <c r="F471">
        <v>50</v>
      </c>
      <c r="G471">
        <v>3</v>
      </c>
      <c r="H471">
        <v>16</v>
      </c>
      <c r="I471" t="s">
        <v>23</v>
      </c>
      <c r="J471" s="3">
        <v>334.91938499999998</v>
      </c>
      <c r="K471" s="3">
        <v>17499.967000000001</v>
      </c>
      <c r="L471" s="3">
        <v>21443.097000000002</v>
      </c>
      <c r="M471" s="3">
        <v>17499.967000000001</v>
      </c>
      <c r="N471" s="3">
        <v>17499.967000000001</v>
      </c>
      <c r="O471" s="4">
        <v>0</v>
      </c>
      <c r="P471" s="4">
        <v>22.5322</v>
      </c>
      <c r="Q471" s="4">
        <v>0</v>
      </c>
      <c r="R471" s="5">
        <v>6.4999999999999997E-3</v>
      </c>
      <c r="S471">
        <v>23</v>
      </c>
      <c r="T471" t="b">
        <v>0</v>
      </c>
      <c r="U471">
        <v>3</v>
      </c>
      <c r="V471" s="4">
        <v>8.41</v>
      </c>
    </row>
    <row r="472" spans="1:22" hidden="1" x14ac:dyDescent="0.35">
      <c r="A472" t="s">
        <v>27</v>
      </c>
      <c r="B472">
        <v>1</v>
      </c>
      <c r="C472">
        <v>5</v>
      </c>
      <c r="D472">
        <v>5</v>
      </c>
      <c r="E472" t="s">
        <v>25</v>
      </c>
      <c r="F472">
        <v>200</v>
      </c>
      <c r="G472">
        <v>1</v>
      </c>
      <c r="H472">
        <v>16</v>
      </c>
      <c r="I472" t="s">
        <v>23</v>
      </c>
      <c r="J472" s="3">
        <v>334.91938499999998</v>
      </c>
      <c r="K472" s="3">
        <v>17499.967000000001</v>
      </c>
      <c r="L472" s="3">
        <v>21443.097000000002</v>
      </c>
      <c r="M472" s="3">
        <v>17499.967000000001</v>
      </c>
      <c r="N472" s="3">
        <v>17499.967000000001</v>
      </c>
      <c r="O472" s="4">
        <v>0</v>
      </c>
      <c r="P472" s="4">
        <v>22.5322</v>
      </c>
      <c r="Q472" s="4">
        <v>0</v>
      </c>
      <c r="R472" s="5">
        <v>6.4999999999999997E-3</v>
      </c>
      <c r="S472">
        <v>23</v>
      </c>
      <c r="T472" t="b">
        <v>0</v>
      </c>
      <c r="U472">
        <v>3</v>
      </c>
      <c r="V472" s="4">
        <v>3.22</v>
      </c>
    </row>
    <row r="473" spans="1:22" hidden="1" x14ac:dyDescent="0.35">
      <c r="A473" t="s">
        <v>27</v>
      </c>
      <c r="B473">
        <v>1</v>
      </c>
      <c r="C473">
        <v>5</v>
      </c>
      <c r="D473">
        <v>5</v>
      </c>
      <c r="E473" t="s">
        <v>25</v>
      </c>
      <c r="F473">
        <v>200</v>
      </c>
      <c r="G473">
        <v>3</v>
      </c>
      <c r="H473">
        <v>16</v>
      </c>
      <c r="I473" t="s">
        <v>23</v>
      </c>
      <c r="J473" s="3">
        <v>334.91938499999998</v>
      </c>
      <c r="K473" s="3">
        <v>17499.967000000001</v>
      </c>
      <c r="L473" s="3">
        <v>21443.097000000002</v>
      </c>
      <c r="M473" s="3">
        <v>17499.967000000001</v>
      </c>
      <c r="N473" s="3">
        <v>17499.967000000001</v>
      </c>
      <c r="O473" s="4">
        <v>0</v>
      </c>
      <c r="P473" s="4">
        <v>22.5322</v>
      </c>
      <c r="Q473" s="4">
        <v>0</v>
      </c>
      <c r="R473" s="5">
        <v>6.4999999999999997E-3</v>
      </c>
      <c r="S473">
        <v>23</v>
      </c>
      <c r="T473" t="b">
        <v>0</v>
      </c>
      <c r="U473">
        <v>3</v>
      </c>
      <c r="V473" s="4">
        <v>8.4700000000000006</v>
      </c>
    </row>
    <row r="474" spans="1:22" hidden="1" x14ac:dyDescent="0.35">
      <c r="A474" t="s">
        <v>27</v>
      </c>
      <c r="B474">
        <v>1</v>
      </c>
      <c r="C474">
        <v>5</v>
      </c>
      <c r="D474">
        <v>10</v>
      </c>
      <c r="E474" t="s">
        <v>22</v>
      </c>
      <c r="F474">
        <v>50</v>
      </c>
      <c r="G474">
        <v>1</v>
      </c>
      <c r="H474">
        <v>16</v>
      </c>
      <c r="I474" t="s">
        <v>23</v>
      </c>
      <c r="J474" s="3">
        <v>170.984891</v>
      </c>
      <c r="K474" s="3">
        <v>17499.967000000001</v>
      </c>
      <c r="L474" s="3">
        <v>19580.759999999998</v>
      </c>
      <c r="M474" s="3">
        <v>17499.967000000001</v>
      </c>
      <c r="N474" s="3">
        <v>17499.967000000001</v>
      </c>
      <c r="O474" s="4">
        <v>0</v>
      </c>
      <c r="P474" s="4">
        <v>11.8903</v>
      </c>
      <c r="Q474" s="4">
        <v>0</v>
      </c>
      <c r="R474" s="5">
        <v>3.09E-2</v>
      </c>
      <c r="S474">
        <v>24</v>
      </c>
      <c r="T474" t="b">
        <v>0</v>
      </c>
      <c r="U474">
        <v>8</v>
      </c>
      <c r="V474" s="4">
        <v>10.56</v>
      </c>
    </row>
    <row r="475" spans="1:22" hidden="1" x14ac:dyDescent="0.35">
      <c r="A475" t="s">
        <v>27</v>
      </c>
      <c r="B475">
        <v>1</v>
      </c>
      <c r="C475">
        <v>5</v>
      </c>
      <c r="D475">
        <v>10</v>
      </c>
      <c r="E475" t="s">
        <v>22</v>
      </c>
      <c r="F475">
        <v>50</v>
      </c>
      <c r="G475">
        <v>3</v>
      </c>
      <c r="H475">
        <v>16</v>
      </c>
      <c r="I475" t="s">
        <v>23</v>
      </c>
      <c r="J475" s="3">
        <v>170.984891</v>
      </c>
      <c r="K475" s="3">
        <v>17499.967000000001</v>
      </c>
      <c r="L475" s="3">
        <v>19580.759999999998</v>
      </c>
      <c r="M475" s="3">
        <v>17499.967000000001</v>
      </c>
      <c r="N475" s="3">
        <v>17499.967000000001</v>
      </c>
      <c r="O475" s="4">
        <v>0</v>
      </c>
      <c r="P475" s="4">
        <v>11.8903</v>
      </c>
      <c r="Q475" s="4">
        <v>0</v>
      </c>
      <c r="R475" s="5">
        <v>3.09E-2</v>
      </c>
      <c r="S475">
        <v>24</v>
      </c>
      <c r="T475" t="b">
        <v>0</v>
      </c>
      <c r="U475">
        <v>8</v>
      </c>
      <c r="V475" s="4">
        <v>32.479999999999997</v>
      </c>
    </row>
    <row r="476" spans="1:22" hidden="1" x14ac:dyDescent="0.35">
      <c r="A476" t="s">
        <v>27</v>
      </c>
      <c r="B476">
        <v>1</v>
      </c>
      <c r="C476">
        <v>5</v>
      </c>
      <c r="D476">
        <v>10</v>
      </c>
      <c r="E476" t="s">
        <v>22</v>
      </c>
      <c r="F476">
        <v>200</v>
      </c>
      <c r="G476">
        <v>1</v>
      </c>
      <c r="H476">
        <v>16</v>
      </c>
      <c r="I476" t="s">
        <v>23</v>
      </c>
      <c r="J476" s="3">
        <v>168.739631</v>
      </c>
      <c r="K476" s="3">
        <v>17499.967000000001</v>
      </c>
      <c r="L476" s="3">
        <v>19580.759999999998</v>
      </c>
      <c r="M476" s="3">
        <v>17499.967000000001</v>
      </c>
      <c r="N476" s="3">
        <v>17499.967000000001</v>
      </c>
      <c r="O476" s="4">
        <v>0</v>
      </c>
      <c r="P476" s="4">
        <v>11.8903</v>
      </c>
      <c r="Q476" s="4">
        <v>0</v>
      </c>
      <c r="R476" s="5">
        <v>3.1699999999999999E-2</v>
      </c>
      <c r="S476">
        <v>24</v>
      </c>
      <c r="T476" t="b">
        <v>0</v>
      </c>
      <c r="U476">
        <v>8</v>
      </c>
      <c r="V476" s="4">
        <v>17.37</v>
      </c>
    </row>
    <row r="477" spans="1:22" hidden="1" x14ac:dyDescent="0.35">
      <c r="A477" t="s">
        <v>27</v>
      </c>
      <c r="B477">
        <v>1</v>
      </c>
      <c r="C477">
        <v>5</v>
      </c>
      <c r="D477">
        <v>10</v>
      </c>
      <c r="E477" t="s">
        <v>22</v>
      </c>
      <c r="F477">
        <v>200</v>
      </c>
      <c r="G477">
        <v>3</v>
      </c>
      <c r="H477">
        <v>16</v>
      </c>
      <c r="I477" t="s">
        <v>23</v>
      </c>
      <c r="J477" s="3">
        <v>168.739631</v>
      </c>
      <c r="K477" s="3">
        <v>17499.967000000001</v>
      </c>
      <c r="L477" s="3">
        <v>19580.759999999998</v>
      </c>
      <c r="M477" s="3">
        <v>17499.967000000001</v>
      </c>
      <c r="N477" s="3">
        <v>17499.967000000001</v>
      </c>
      <c r="O477" s="4">
        <v>0</v>
      </c>
      <c r="P477" s="4">
        <v>11.8903</v>
      </c>
      <c r="Q477" s="4">
        <v>0</v>
      </c>
      <c r="R477" s="5">
        <v>3.1699999999999999E-2</v>
      </c>
      <c r="S477">
        <v>24</v>
      </c>
      <c r="T477" t="b">
        <v>0</v>
      </c>
      <c r="U477">
        <v>8</v>
      </c>
      <c r="V477" s="4">
        <v>55.43</v>
      </c>
    </row>
    <row r="478" spans="1:22" hidden="1" x14ac:dyDescent="0.35">
      <c r="A478" t="s">
        <v>27</v>
      </c>
      <c r="B478">
        <v>1</v>
      </c>
      <c r="C478">
        <v>5</v>
      </c>
      <c r="D478">
        <v>10</v>
      </c>
      <c r="E478" t="s">
        <v>25</v>
      </c>
      <c r="F478">
        <v>50</v>
      </c>
      <c r="G478">
        <v>1</v>
      </c>
      <c r="H478">
        <v>16</v>
      </c>
      <c r="I478" t="s">
        <v>23</v>
      </c>
      <c r="J478" s="3">
        <v>656.14378699999997</v>
      </c>
      <c r="K478" s="3">
        <v>17499.967000000001</v>
      </c>
      <c r="L478" s="3">
        <v>21620.526999999998</v>
      </c>
      <c r="M478" s="3">
        <v>17499.967000000001</v>
      </c>
      <c r="N478" s="3">
        <v>17499.967000000001</v>
      </c>
      <c r="O478" s="4">
        <v>0</v>
      </c>
      <c r="P478" s="4">
        <v>23.546099999999999</v>
      </c>
      <c r="Q478" s="4">
        <v>0</v>
      </c>
      <c r="R478" s="5">
        <v>8.3000000000000001E-3</v>
      </c>
      <c r="S478">
        <v>24</v>
      </c>
      <c r="T478" t="b">
        <v>0</v>
      </c>
      <c r="U478">
        <v>12</v>
      </c>
      <c r="V478" s="4">
        <v>3.16</v>
      </c>
    </row>
    <row r="479" spans="1:22" hidden="1" x14ac:dyDescent="0.35">
      <c r="A479" t="s">
        <v>27</v>
      </c>
      <c r="B479">
        <v>1</v>
      </c>
      <c r="C479">
        <v>5</v>
      </c>
      <c r="D479">
        <v>10</v>
      </c>
      <c r="E479" t="s">
        <v>25</v>
      </c>
      <c r="F479">
        <v>50</v>
      </c>
      <c r="G479">
        <v>3</v>
      </c>
      <c r="H479">
        <v>16</v>
      </c>
      <c r="I479" t="s">
        <v>23</v>
      </c>
      <c r="J479" s="3">
        <v>656.14378699999997</v>
      </c>
      <c r="K479" s="3">
        <v>17499.967000000001</v>
      </c>
      <c r="L479" s="3">
        <v>21620.526999999998</v>
      </c>
      <c r="M479" s="3">
        <v>17499.967000000001</v>
      </c>
      <c r="N479" s="3">
        <v>17499.967000000001</v>
      </c>
      <c r="O479" s="4">
        <v>0</v>
      </c>
      <c r="P479" s="4">
        <v>23.546099999999999</v>
      </c>
      <c r="Q479" s="4">
        <v>0</v>
      </c>
      <c r="R479" s="5">
        <v>8.3000000000000001E-3</v>
      </c>
      <c r="S479">
        <v>24</v>
      </c>
      <c r="T479" t="b">
        <v>0</v>
      </c>
      <c r="U479">
        <v>12</v>
      </c>
      <c r="V479" s="4">
        <v>8.42</v>
      </c>
    </row>
    <row r="480" spans="1:22" hidden="1" x14ac:dyDescent="0.35">
      <c r="A480" t="s">
        <v>27</v>
      </c>
      <c r="B480">
        <v>1</v>
      </c>
      <c r="C480">
        <v>5</v>
      </c>
      <c r="D480">
        <v>10</v>
      </c>
      <c r="E480" t="s">
        <v>25</v>
      </c>
      <c r="F480">
        <v>200</v>
      </c>
      <c r="G480">
        <v>1</v>
      </c>
      <c r="H480">
        <v>16</v>
      </c>
      <c r="I480" t="s">
        <v>23</v>
      </c>
      <c r="J480" s="3">
        <v>656.14378699999997</v>
      </c>
      <c r="K480" s="3">
        <v>17499.967000000001</v>
      </c>
      <c r="L480" s="3">
        <v>21620.526999999998</v>
      </c>
      <c r="M480" s="3">
        <v>17499.967000000001</v>
      </c>
      <c r="N480" s="3">
        <v>17499.967000000001</v>
      </c>
      <c r="O480" s="4">
        <v>0</v>
      </c>
      <c r="P480" s="4">
        <v>23.546099999999999</v>
      </c>
      <c r="Q480" s="4">
        <v>0</v>
      </c>
      <c r="R480" s="5">
        <v>8.3000000000000001E-3</v>
      </c>
      <c r="S480">
        <v>24</v>
      </c>
      <c r="T480" t="b">
        <v>0</v>
      </c>
      <c r="U480">
        <v>12</v>
      </c>
      <c r="V480" s="4">
        <v>3.18</v>
      </c>
    </row>
    <row r="481" spans="1:22" hidden="1" x14ac:dyDescent="0.35">
      <c r="A481" t="s">
        <v>27</v>
      </c>
      <c r="B481">
        <v>1</v>
      </c>
      <c r="C481">
        <v>5</v>
      </c>
      <c r="D481">
        <v>10</v>
      </c>
      <c r="E481" t="s">
        <v>25</v>
      </c>
      <c r="F481">
        <v>200</v>
      </c>
      <c r="G481">
        <v>3</v>
      </c>
      <c r="H481">
        <v>16</v>
      </c>
      <c r="I481" t="s">
        <v>23</v>
      </c>
      <c r="J481" s="3">
        <v>656.14378699999997</v>
      </c>
      <c r="K481" s="3">
        <v>17499.967000000001</v>
      </c>
      <c r="L481" s="3">
        <v>21620.526999999998</v>
      </c>
      <c r="M481" s="3">
        <v>17499.967000000001</v>
      </c>
      <c r="N481" s="3">
        <v>17499.967000000001</v>
      </c>
      <c r="O481" s="4">
        <v>0</v>
      </c>
      <c r="P481" s="4">
        <v>23.546099999999999</v>
      </c>
      <c r="Q481" s="4">
        <v>0</v>
      </c>
      <c r="R481" s="5">
        <v>8.3000000000000001E-3</v>
      </c>
      <c r="S481">
        <v>24</v>
      </c>
      <c r="T481" t="b">
        <v>0</v>
      </c>
      <c r="U481">
        <v>12</v>
      </c>
      <c r="V481" s="4">
        <v>8.48</v>
      </c>
    </row>
    <row r="482" spans="1:22" hidden="1" x14ac:dyDescent="0.35">
      <c r="A482" t="s">
        <v>27</v>
      </c>
      <c r="B482">
        <v>2</v>
      </c>
      <c r="C482">
        <v>1</v>
      </c>
      <c r="D482">
        <v>2</v>
      </c>
      <c r="E482" t="s">
        <v>22</v>
      </c>
      <c r="F482">
        <v>50</v>
      </c>
      <c r="G482">
        <v>1</v>
      </c>
      <c r="H482">
        <v>20</v>
      </c>
      <c r="I482" t="s">
        <v>26</v>
      </c>
      <c r="J482" s="3">
        <v>47.267668999999998</v>
      </c>
      <c r="K482" s="3">
        <v>19642.361000000001</v>
      </c>
      <c r="L482" s="3">
        <v>23585.491000000002</v>
      </c>
      <c r="M482" s="3">
        <v>19642.361000000001</v>
      </c>
      <c r="N482" s="3">
        <v>19642.361000000001</v>
      </c>
      <c r="O482" s="4">
        <v>0</v>
      </c>
      <c r="P482" s="4">
        <v>20.0746</v>
      </c>
      <c r="Q482" s="4">
        <v>0</v>
      </c>
      <c r="R482" s="5">
        <v>5.8999999999999999E-3</v>
      </c>
      <c r="S482">
        <v>28</v>
      </c>
      <c r="T482" t="b">
        <v>0</v>
      </c>
      <c r="U482">
        <v>9</v>
      </c>
      <c r="V482" s="4">
        <v>7.55</v>
      </c>
    </row>
    <row r="483" spans="1:22" hidden="1" x14ac:dyDescent="0.35">
      <c r="A483" t="s">
        <v>27</v>
      </c>
      <c r="B483">
        <v>2</v>
      </c>
      <c r="C483">
        <v>1</v>
      </c>
      <c r="D483">
        <v>2</v>
      </c>
      <c r="E483" t="s">
        <v>22</v>
      </c>
      <c r="F483">
        <v>50</v>
      </c>
      <c r="G483">
        <v>3</v>
      </c>
      <c r="H483">
        <v>20</v>
      </c>
      <c r="I483" t="s">
        <v>26</v>
      </c>
      <c r="J483" s="3">
        <v>47.267668999999998</v>
      </c>
      <c r="K483" s="3">
        <v>19642.361000000001</v>
      </c>
      <c r="L483" s="3">
        <v>23585.491000000002</v>
      </c>
      <c r="M483" s="3">
        <v>19642.361000000001</v>
      </c>
      <c r="N483" s="3">
        <v>19642.361000000001</v>
      </c>
      <c r="O483" s="4">
        <v>0</v>
      </c>
      <c r="P483" s="4">
        <v>20.0746</v>
      </c>
      <c r="Q483" s="4">
        <v>0</v>
      </c>
      <c r="R483" s="5">
        <v>5.8999999999999999E-3</v>
      </c>
      <c r="S483">
        <v>28</v>
      </c>
      <c r="T483" t="b">
        <v>0</v>
      </c>
      <c r="U483">
        <v>9</v>
      </c>
      <c r="V483" s="4">
        <v>19.29</v>
      </c>
    </row>
    <row r="484" spans="1:22" hidden="1" x14ac:dyDescent="0.35">
      <c r="A484" t="s">
        <v>27</v>
      </c>
      <c r="B484">
        <v>2</v>
      </c>
      <c r="C484">
        <v>1</v>
      </c>
      <c r="D484">
        <v>2</v>
      </c>
      <c r="E484" t="s">
        <v>22</v>
      </c>
      <c r="F484">
        <v>200</v>
      </c>
      <c r="G484">
        <v>1</v>
      </c>
      <c r="H484">
        <v>20</v>
      </c>
      <c r="I484" t="s">
        <v>26</v>
      </c>
      <c r="J484" s="3">
        <v>47.267668999999998</v>
      </c>
      <c r="K484" s="3">
        <v>19642.361000000001</v>
      </c>
      <c r="L484" s="3">
        <v>23585.491000000002</v>
      </c>
      <c r="M484" s="3">
        <v>19642.361000000001</v>
      </c>
      <c r="N484" s="3">
        <v>19642.361000000001</v>
      </c>
      <c r="O484" s="4">
        <v>0</v>
      </c>
      <c r="P484" s="4">
        <v>20.0746</v>
      </c>
      <c r="Q484" s="4">
        <v>0</v>
      </c>
      <c r="R484" s="5">
        <v>5.8999999999999999E-3</v>
      </c>
      <c r="S484">
        <v>28</v>
      </c>
      <c r="T484" t="b">
        <v>0</v>
      </c>
      <c r="U484">
        <v>9</v>
      </c>
      <c r="V484" s="4">
        <v>7.49</v>
      </c>
    </row>
    <row r="485" spans="1:22" hidden="1" x14ac:dyDescent="0.35">
      <c r="A485" t="s">
        <v>27</v>
      </c>
      <c r="B485">
        <v>2</v>
      </c>
      <c r="C485">
        <v>1</v>
      </c>
      <c r="D485">
        <v>2</v>
      </c>
      <c r="E485" t="s">
        <v>22</v>
      </c>
      <c r="F485">
        <v>200</v>
      </c>
      <c r="G485">
        <v>3</v>
      </c>
      <c r="H485">
        <v>20</v>
      </c>
      <c r="I485" t="s">
        <v>26</v>
      </c>
      <c r="J485" s="3">
        <v>47.267668999999998</v>
      </c>
      <c r="K485" s="3">
        <v>19642.361000000001</v>
      </c>
      <c r="L485" s="3">
        <v>23585.491000000002</v>
      </c>
      <c r="M485" s="3">
        <v>19642.361000000001</v>
      </c>
      <c r="N485" s="3">
        <v>19642.361000000001</v>
      </c>
      <c r="O485" s="4">
        <v>0</v>
      </c>
      <c r="P485" s="4">
        <v>20.0746</v>
      </c>
      <c r="Q485" s="4">
        <v>0</v>
      </c>
      <c r="R485" s="5">
        <v>5.8999999999999999E-3</v>
      </c>
      <c r="S485">
        <v>28</v>
      </c>
      <c r="T485" t="b">
        <v>0</v>
      </c>
      <c r="U485">
        <v>9</v>
      </c>
      <c r="V485" s="4">
        <v>19.28</v>
      </c>
    </row>
    <row r="486" spans="1:22" hidden="1" x14ac:dyDescent="0.35">
      <c r="A486" t="s">
        <v>27</v>
      </c>
      <c r="B486">
        <v>2</v>
      </c>
      <c r="C486">
        <v>1</v>
      </c>
      <c r="D486">
        <v>2</v>
      </c>
      <c r="E486" t="s">
        <v>25</v>
      </c>
      <c r="F486">
        <v>50</v>
      </c>
      <c r="G486">
        <v>1</v>
      </c>
      <c r="H486">
        <v>20</v>
      </c>
      <c r="I486" t="s">
        <v>26</v>
      </c>
      <c r="J486" s="3">
        <v>166.134851</v>
      </c>
      <c r="K486" s="3" t="s">
        <v>24</v>
      </c>
      <c r="L486" s="3" t="s">
        <v>24</v>
      </c>
      <c r="M486" s="3" t="s">
        <v>24</v>
      </c>
      <c r="N486" s="3">
        <v>19642.361000000001</v>
      </c>
      <c r="O486" s="4"/>
      <c r="P486" s="4"/>
      <c r="Q486" s="4"/>
      <c r="R486" s="5">
        <v>0</v>
      </c>
      <c r="S486">
        <v>0</v>
      </c>
      <c r="T486" t="b">
        <v>1</v>
      </c>
      <c r="U486">
        <v>-1</v>
      </c>
      <c r="V486" s="4">
        <v>1.18</v>
      </c>
    </row>
    <row r="487" spans="1:22" hidden="1" x14ac:dyDescent="0.35">
      <c r="A487" t="s">
        <v>27</v>
      </c>
      <c r="B487">
        <v>2</v>
      </c>
      <c r="C487">
        <v>1</v>
      </c>
      <c r="D487">
        <v>2</v>
      </c>
      <c r="E487" t="s">
        <v>25</v>
      </c>
      <c r="F487">
        <v>50</v>
      </c>
      <c r="G487">
        <v>3</v>
      </c>
      <c r="H487">
        <v>20</v>
      </c>
      <c r="I487" t="s">
        <v>26</v>
      </c>
      <c r="J487" s="3">
        <v>149.29763500000001</v>
      </c>
      <c r="K487" s="3" t="s">
        <v>24</v>
      </c>
      <c r="L487" s="3" t="s">
        <v>24</v>
      </c>
      <c r="M487" s="3" t="s">
        <v>24</v>
      </c>
      <c r="N487" s="3">
        <v>19642.361000000001</v>
      </c>
      <c r="O487" s="4"/>
      <c r="P487" s="4"/>
      <c r="Q487" s="4"/>
      <c r="R487" s="5">
        <v>0</v>
      </c>
      <c r="S487">
        <v>0</v>
      </c>
      <c r="T487" t="b">
        <v>1</v>
      </c>
      <c r="U487">
        <v>-1</v>
      </c>
      <c r="V487" s="4">
        <v>2.67</v>
      </c>
    </row>
    <row r="488" spans="1:22" hidden="1" x14ac:dyDescent="0.35">
      <c r="A488" t="s">
        <v>27</v>
      </c>
      <c r="B488">
        <v>2</v>
      </c>
      <c r="C488">
        <v>1</v>
      </c>
      <c r="D488">
        <v>2</v>
      </c>
      <c r="E488" t="s">
        <v>25</v>
      </c>
      <c r="F488">
        <v>200</v>
      </c>
      <c r="G488">
        <v>1</v>
      </c>
      <c r="H488">
        <v>20</v>
      </c>
      <c r="I488" t="s">
        <v>26</v>
      </c>
      <c r="J488" s="3">
        <v>166.134851</v>
      </c>
      <c r="K488" s="3" t="s">
        <v>24</v>
      </c>
      <c r="L488" s="3" t="s">
        <v>24</v>
      </c>
      <c r="M488" s="3" t="s">
        <v>24</v>
      </c>
      <c r="N488" s="3">
        <v>19642.361000000001</v>
      </c>
      <c r="O488" s="4"/>
      <c r="P488" s="4"/>
      <c r="Q488" s="4"/>
      <c r="R488" s="5">
        <v>0</v>
      </c>
      <c r="S488">
        <v>0</v>
      </c>
      <c r="T488" t="b">
        <v>1</v>
      </c>
      <c r="U488">
        <v>-1</v>
      </c>
      <c r="V488" s="4">
        <v>1.1599999999999999</v>
      </c>
    </row>
    <row r="489" spans="1:22" hidden="1" x14ac:dyDescent="0.35">
      <c r="A489" t="s">
        <v>27</v>
      </c>
      <c r="B489">
        <v>2</v>
      </c>
      <c r="C489">
        <v>1</v>
      </c>
      <c r="D489">
        <v>2</v>
      </c>
      <c r="E489" t="s">
        <v>25</v>
      </c>
      <c r="F489">
        <v>200</v>
      </c>
      <c r="G489">
        <v>3</v>
      </c>
      <c r="H489">
        <v>20</v>
      </c>
      <c r="I489" t="s">
        <v>26</v>
      </c>
      <c r="J489" s="3">
        <v>149.29763500000001</v>
      </c>
      <c r="K489" s="3" t="s">
        <v>24</v>
      </c>
      <c r="L489" s="3" t="s">
        <v>24</v>
      </c>
      <c r="M489" s="3" t="s">
        <v>24</v>
      </c>
      <c r="N489" s="3">
        <v>19642.361000000001</v>
      </c>
      <c r="O489" s="4"/>
      <c r="P489" s="4"/>
      <c r="Q489" s="4"/>
      <c r="R489" s="5">
        <v>0</v>
      </c>
      <c r="S489">
        <v>0</v>
      </c>
      <c r="T489" t="b">
        <v>1</v>
      </c>
      <c r="U489">
        <v>-1</v>
      </c>
      <c r="V489" s="4">
        <v>2.71</v>
      </c>
    </row>
    <row r="490" spans="1:22" hidden="1" x14ac:dyDescent="0.35">
      <c r="A490" t="s">
        <v>27</v>
      </c>
      <c r="B490">
        <v>2</v>
      </c>
      <c r="C490">
        <v>1</v>
      </c>
      <c r="D490">
        <v>5</v>
      </c>
      <c r="E490" t="s">
        <v>22</v>
      </c>
      <c r="F490">
        <v>50</v>
      </c>
      <c r="G490">
        <v>1</v>
      </c>
      <c r="H490">
        <v>20</v>
      </c>
      <c r="I490" t="s">
        <v>26</v>
      </c>
      <c r="J490" s="3">
        <v>112.344589</v>
      </c>
      <c r="K490" s="3">
        <v>21435.544999999998</v>
      </c>
      <c r="L490" s="3">
        <v>23585.491000000002</v>
      </c>
      <c r="M490" s="3">
        <v>19642.361000000001</v>
      </c>
      <c r="N490" s="3">
        <v>19642.361000000001</v>
      </c>
      <c r="O490" s="4">
        <v>9.1292000000000009</v>
      </c>
      <c r="P490" s="4">
        <v>20.0746</v>
      </c>
      <c r="Q490" s="4">
        <v>0</v>
      </c>
      <c r="R490" s="5">
        <v>6.4999999999999997E-3</v>
      </c>
      <c r="S490">
        <v>26</v>
      </c>
      <c r="T490" t="b">
        <v>0</v>
      </c>
      <c r="U490">
        <v>14</v>
      </c>
      <c r="V490" s="4">
        <v>6.61</v>
      </c>
    </row>
    <row r="491" spans="1:22" hidden="1" x14ac:dyDescent="0.35">
      <c r="A491" t="s">
        <v>27</v>
      </c>
      <c r="B491">
        <v>2</v>
      </c>
      <c r="C491">
        <v>1</v>
      </c>
      <c r="D491">
        <v>5</v>
      </c>
      <c r="E491" t="s">
        <v>22</v>
      </c>
      <c r="F491">
        <v>50</v>
      </c>
      <c r="G491">
        <v>3</v>
      </c>
      <c r="H491">
        <v>20</v>
      </c>
      <c r="I491" t="s">
        <v>26</v>
      </c>
      <c r="J491" s="3">
        <v>112.344589</v>
      </c>
      <c r="K491" s="3">
        <v>21435.544999999998</v>
      </c>
      <c r="L491" s="3">
        <v>23585.491000000002</v>
      </c>
      <c r="M491" s="3">
        <v>19642.361000000001</v>
      </c>
      <c r="N491" s="3">
        <v>19642.361000000001</v>
      </c>
      <c r="O491" s="4">
        <v>9.1292000000000009</v>
      </c>
      <c r="P491" s="4">
        <v>20.0746</v>
      </c>
      <c r="Q491" s="4">
        <v>0</v>
      </c>
      <c r="R491" s="5">
        <v>6.4999999999999997E-3</v>
      </c>
      <c r="S491">
        <v>26</v>
      </c>
      <c r="T491" t="b">
        <v>0</v>
      </c>
      <c r="U491">
        <v>14</v>
      </c>
      <c r="V491" s="4">
        <v>18.55</v>
      </c>
    </row>
    <row r="492" spans="1:22" hidden="1" x14ac:dyDescent="0.35">
      <c r="A492" t="s">
        <v>27</v>
      </c>
      <c r="B492">
        <v>2</v>
      </c>
      <c r="C492">
        <v>1</v>
      </c>
      <c r="D492">
        <v>5</v>
      </c>
      <c r="E492" t="s">
        <v>22</v>
      </c>
      <c r="F492">
        <v>200</v>
      </c>
      <c r="G492">
        <v>1</v>
      </c>
      <c r="H492">
        <v>20</v>
      </c>
      <c r="I492" t="s">
        <v>26</v>
      </c>
      <c r="J492" s="3">
        <v>112.344589</v>
      </c>
      <c r="K492" s="3">
        <v>21435.544999999998</v>
      </c>
      <c r="L492" s="3">
        <v>23585.491000000002</v>
      </c>
      <c r="M492" s="3">
        <v>19642.361000000001</v>
      </c>
      <c r="N492" s="3">
        <v>19642.361000000001</v>
      </c>
      <c r="O492" s="4">
        <v>9.1292000000000009</v>
      </c>
      <c r="P492" s="4">
        <v>20.0746</v>
      </c>
      <c r="Q492" s="4">
        <v>0</v>
      </c>
      <c r="R492" s="5">
        <v>6.4999999999999997E-3</v>
      </c>
      <c r="S492">
        <v>26</v>
      </c>
      <c r="T492" t="b">
        <v>0</v>
      </c>
      <c r="U492">
        <v>14</v>
      </c>
      <c r="V492" s="4">
        <v>6.56</v>
      </c>
    </row>
    <row r="493" spans="1:22" hidden="1" x14ac:dyDescent="0.35">
      <c r="A493" t="s">
        <v>27</v>
      </c>
      <c r="B493">
        <v>2</v>
      </c>
      <c r="C493">
        <v>1</v>
      </c>
      <c r="D493">
        <v>5</v>
      </c>
      <c r="E493" t="s">
        <v>22</v>
      </c>
      <c r="F493">
        <v>200</v>
      </c>
      <c r="G493">
        <v>3</v>
      </c>
      <c r="H493">
        <v>20</v>
      </c>
      <c r="I493" t="s">
        <v>26</v>
      </c>
      <c r="J493" s="3">
        <v>112.344589</v>
      </c>
      <c r="K493" s="3">
        <v>21435.544999999998</v>
      </c>
      <c r="L493" s="3">
        <v>23585.491000000002</v>
      </c>
      <c r="M493" s="3">
        <v>19642.361000000001</v>
      </c>
      <c r="N493" s="3">
        <v>19642.361000000001</v>
      </c>
      <c r="O493" s="4">
        <v>9.1292000000000009</v>
      </c>
      <c r="P493" s="4">
        <v>20.0746</v>
      </c>
      <c r="Q493" s="4">
        <v>0</v>
      </c>
      <c r="R493" s="5">
        <v>6.4999999999999997E-3</v>
      </c>
      <c r="S493">
        <v>26</v>
      </c>
      <c r="T493" t="b">
        <v>0</v>
      </c>
      <c r="U493">
        <v>14</v>
      </c>
      <c r="V493" s="4">
        <v>18.59</v>
      </c>
    </row>
    <row r="494" spans="1:22" hidden="1" x14ac:dyDescent="0.35">
      <c r="A494" t="s">
        <v>27</v>
      </c>
      <c r="B494">
        <v>2</v>
      </c>
      <c r="C494">
        <v>1</v>
      </c>
      <c r="D494">
        <v>5</v>
      </c>
      <c r="E494" t="s">
        <v>25</v>
      </c>
      <c r="F494">
        <v>50</v>
      </c>
      <c r="G494">
        <v>1</v>
      </c>
      <c r="H494">
        <v>20</v>
      </c>
      <c r="I494" t="s">
        <v>26</v>
      </c>
      <c r="J494" s="3">
        <v>416.97398500000003</v>
      </c>
      <c r="K494" s="3" t="s">
        <v>24</v>
      </c>
      <c r="L494" s="3" t="s">
        <v>24</v>
      </c>
      <c r="M494" s="3" t="s">
        <v>24</v>
      </c>
      <c r="N494" s="3">
        <v>19642.361000000001</v>
      </c>
      <c r="O494" s="4"/>
      <c r="P494" s="4"/>
      <c r="Q494" s="4"/>
      <c r="R494" s="5">
        <v>0</v>
      </c>
      <c r="S494">
        <v>0</v>
      </c>
      <c r="T494" t="b">
        <v>1</v>
      </c>
      <c r="U494">
        <v>-1</v>
      </c>
      <c r="V494" s="4">
        <v>1.17</v>
      </c>
    </row>
    <row r="495" spans="1:22" hidden="1" x14ac:dyDescent="0.35">
      <c r="A495" t="s">
        <v>27</v>
      </c>
      <c r="B495">
        <v>2</v>
      </c>
      <c r="C495">
        <v>1</v>
      </c>
      <c r="D495">
        <v>5</v>
      </c>
      <c r="E495" t="s">
        <v>25</v>
      </c>
      <c r="F495">
        <v>50</v>
      </c>
      <c r="G495">
        <v>3</v>
      </c>
      <c r="H495">
        <v>20</v>
      </c>
      <c r="I495" t="s">
        <v>26</v>
      </c>
      <c r="J495" s="3">
        <v>361.69224600000001</v>
      </c>
      <c r="K495" s="3" t="s">
        <v>24</v>
      </c>
      <c r="L495" s="3" t="s">
        <v>24</v>
      </c>
      <c r="M495" s="3" t="s">
        <v>24</v>
      </c>
      <c r="N495" s="3">
        <v>19642.361000000001</v>
      </c>
      <c r="O495" s="4"/>
      <c r="P495" s="4"/>
      <c r="Q495" s="4"/>
      <c r="R495" s="5">
        <v>0</v>
      </c>
      <c r="S495">
        <v>0</v>
      </c>
      <c r="T495" t="b">
        <v>1</v>
      </c>
      <c r="U495">
        <v>-1</v>
      </c>
      <c r="V495" s="4">
        <v>2.69</v>
      </c>
    </row>
    <row r="496" spans="1:22" hidden="1" x14ac:dyDescent="0.35">
      <c r="A496" t="s">
        <v>27</v>
      </c>
      <c r="B496">
        <v>2</v>
      </c>
      <c r="C496">
        <v>1</v>
      </c>
      <c r="D496">
        <v>5</v>
      </c>
      <c r="E496" t="s">
        <v>25</v>
      </c>
      <c r="F496">
        <v>200</v>
      </c>
      <c r="G496">
        <v>1</v>
      </c>
      <c r="H496">
        <v>20</v>
      </c>
      <c r="I496" t="s">
        <v>26</v>
      </c>
      <c r="J496" s="3">
        <v>416.97398500000003</v>
      </c>
      <c r="K496" s="3" t="s">
        <v>24</v>
      </c>
      <c r="L496" s="3" t="s">
        <v>24</v>
      </c>
      <c r="M496" s="3" t="s">
        <v>24</v>
      </c>
      <c r="N496" s="3">
        <v>19642.361000000001</v>
      </c>
      <c r="O496" s="4"/>
      <c r="P496" s="4"/>
      <c r="Q496" s="4"/>
      <c r="R496" s="5">
        <v>0</v>
      </c>
      <c r="S496">
        <v>0</v>
      </c>
      <c r="T496" t="b">
        <v>1</v>
      </c>
      <c r="U496">
        <v>-1</v>
      </c>
      <c r="V496" s="4">
        <v>1.21</v>
      </c>
    </row>
    <row r="497" spans="1:22" hidden="1" x14ac:dyDescent="0.35">
      <c r="A497" t="s">
        <v>27</v>
      </c>
      <c r="B497">
        <v>2</v>
      </c>
      <c r="C497">
        <v>1</v>
      </c>
      <c r="D497">
        <v>5</v>
      </c>
      <c r="E497" t="s">
        <v>25</v>
      </c>
      <c r="F497">
        <v>200</v>
      </c>
      <c r="G497">
        <v>3</v>
      </c>
      <c r="H497">
        <v>20</v>
      </c>
      <c r="I497" t="s">
        <v>26</v>
      </c>
      <c r="J497" s="3">
        <v>361.69224600000001</v>
      </c>
      <c r="K497" s="3" t="s">
        <v>24</v>
      </c>
      <c r="L497" s="3" t="s">
        <v>24</v>
      </c>
      <c r="M497" s="3" t="s">
        <v>24</v>
      </c>
      <c r="N497" s="3">
        <v>19642.361000000001</v>
      </c>
      <c r="O497" s="4"/>
      <c r="P497" s="4"/>
      <c r="Q497" s="4"/>
      <c r="R497" s="5">
        <v>0</v>
      </c>
      <c r="S497">
        <v>0</v>
      </c>
      <c r="T497" t="b">
        <v>1</v>
      </c>
      <c r="U497">
        <v>-1</v>
      </c>
      <c r="V497" s="4">
        <v>2.64</v>
      </c>
    </row>
    <row r="498" spans="1:22" hidden="1" x14ac:dyDescent="0.35">
      <c r="A498" t="s">
        <v>27</v>
      </c>
      <c r="B498">
        <v>2</v>
      </c>
      <c r="C498">
        <v>1</v>
      </c>
      <c r="D498">
        <v>10</v>
      </c>
      <c r="E498" t="s">
        <v>22</v>
      </c>
      <c r="F498">
        <v>50</v>
      </c>
      <c r="G498">
        <v>1</v>
      </c>
      <c r="H498">
        <v>20</v>
      </c>
      <c r="I498" t="s">
        <v>26</v>
      </c>
      <c r="J498" s="3">
        <v>224.75291300000001</v>
      </c>
      <c r="K498" s="3">
        <v>19642.361000000001</v>
      </c>
      <c r="L498" s="3">
        <v>21723.153999999999</v>
      </c>
      <c r="M498" s="3">
        <v>19642.361000000001</v>
      </c>
      <c r="N498" s="3">
        <v>19642.361000000001</v>
      </c>
      <c r="O498" s="4">
        <v>0</v>
      </c>
      <c r="P498" s="4">
        <v>10.593400000000001</v>
      </c>
      <c r="Q498" s="4">
        <v>0</v>
      </c>
      <c r="R498" s="5">
        <v>5.7999999999999996E-3</v>
      </c>
      <c r="S498">
        <v>30</v>
      </c>
      <c r="T498" t="b">
        <v>0</v>
      </c>
      <c r="U498">
        <v>4</v>
      </c>
      <c r="V498" s="4">
        <v>5.6</v>
      </c>
    </row>
    <row r="499" spans="1:22" hidden="1" x14ac:dyDescent="0.35">
      <c r="A499" t="s">
        <v>27</v>
      </c>
      <c r="B499">
        <v>2</v>
      </c>
      <c r="C499">
        <v>1</v>
      </c>
      <c r="D499">
        <v>10</v>
      </c>
      <c r="E499" t="s">
        <v>22</v>
      </c>
      <c r="F499">
        <v>50</v>
      </c>
      <c r="G499">
        <v>3</v>
      </c>
      <c r="H499">
        <v>20</v>
      </c>
      <c r="I499" t="s">
        <v>26</v>
      </c>
      <c r="J499" s="3">
        <v>224.75291300000001</v>
      </c>
      <c r="K499" s="3">
        <v>19642.361000000001</v>
      </c>
      <c r="L499" s="3">
        <v>21723.153999999999</v>
      </c>
      <c r="M499" s="3">
        <v>19642.361000000001</v>
      </c>
      <c r="N499" s="3">
        <v>19642.361000000001</v>
      </c>
      <c r="O499" s="4">
        <v>0</v>
      </c>
      <c r="P499" s="4">
        <v>10.593400000000001</v>
      </c>
      <c r="Q499" s="4">
        <v>0</v>
      </c>
      <c r="R499" s="5">
        <v>5.7999999999999996E-3</v>
      </c>
      <c r="S499">
        <v>30</v>
      </c>
      <c r="T499" t="b">
        <v>0</v>
      </c>
      <c r="U499">
        <v>4</v>
      </c>
      <c r="V499" s="4">
        <v>17.18</v>
      </c>
    </row>
    <row r="500" spans="1:22" hidden="1" x14ac:dyDescent="0.35">
      <c r="A500" t="s">
        <v>27</v>
      </c>
      <c r="B500">
        <v>2</v>
      </c>
      <c r="C500">
        <v>1</v>
      </c>
      <c r="D500">
        <v>10</v>
      </c>
      <c r="E500" t="s">
        <v>22</v>
      </c>
      <c r="F500">
        <v>200</v>
      </c>
      <c r="G500">
        <v>1</v>
      </c>
      <c r="H500">
        <v>20</v>
      </c>
      <c r="I500" t="s">
        <v>26</v>
      </c>
      <c r="J500" s="3">
        <v>224.75291300000001</v>
      </c>
      <c r="K500" s="3">
        <v>19642.361000000001</v>
      </c>
      <c r="L500" s="3">
        <v>21723.153999999999</v>
      </c>
      <c r="M500" s="3">
        <v>19642.361000000001</v>
      </c>
      <c r="N500" s="3">
        <v>19642.361000000001</v>
      </c>
      <c r="O500" s="4">
        <v>0</v>
      </c>
      <c r="P500" s="4">
        <v>10.593400000000001</v>
      </c>
      <c r="Q500" s="4">
        <v>0</v>
      </c>
      <c r="R500" s="5">
        <v>5.7999999999999996E-3</v>
      </c>
      <c r="S500">
        <v>30</v>
      </c>
      <c r="T500" t="b">
        <v>0</v>
      </c>
      <c r="U500">
        <v>4</v>
      </c>
      <c r="V500" s="4">
        <v>5.58</v>
      </c>
    </row>
    <row r="501" spans="1:22" hidden="1" x14ac:dyDescent="0.35">
      <c r="A501" t="s">
        <v>27</v>
      </c>
      <c r="B501">
        <v>2</v>
      </c>
      <c r="C501">
        <v>1</v>
      </c>
      <c r="D501">
        <v>10</v>
      </c>
      <c r="E501" t="s">
        <v>22</v>
      </c>
      <c r="F501">
        <v>200</v>
      </c>
      <c r="G501">
        <v>3</v>
      </c>
      <c r="H501">
        <v>20</v>
      </c>
      <c r="I501" t="s">
        <v>26</v>
      </c>
      <c r="J501" s="3">
        <v>224.75291300000001</v>
      </c>
      <c r="K501" s="3">
        <v>19642.361000000001</v>
      </c>
      <c r="L501" s="3">
        <v>21723.153999999999</v>
      </c>
      <c r="M501" s="3">
        <v>19642.361000000001</v>
      </c>
      <c r="N501" s="3">
        <v>19642.361000000001</v>
      </c>
      <c r="O501" s="4">
        <v>0</v>
      </c>
      <c r="P501" s="4">
        <v>10.593400000000001</v>
      </c>
      <c r="Q501" s="4">
        <v>0</v>
      </c>
      <c r="R501" s="5">
        <v>5.7999999999999996E-3</v>
      </c>
      <c r="S501">
        <v>30</v>
      </c>
      <c r="T501" t="b">
        <v>0</v>
      </c>
      <c r="U501">
        <v>4</v>
      </c>
      <c r="V501" s="4">
        <v>17.21</v>
      </c>
    </row>
    <row r="502" spans="1:22" hidden="1" x14ac:dyDescent="0.35">
      <c r="A502" t="s">
        <v>27</v>
      </c>
      <c r="B502">
        <v>2</v>
      </c>
      <c r="C502">
        <v>1</v>
      </c>
      <c r="D502">
        <v>10</v>
      </c>
      <c r="E502" t="s">
        <v>25</v>
      </c>
      <c r="F502">
        <v>50</v>
      </c>
      <c r="G502">
        <v>1</v>
      </c>
      <c r="H502">
        <v>20</v>
      </c>
      <c r="I502" t="s">
        <v>26</v>
      </c>
      <c r="J502" s="3">
        <v>851.76479300000005</v>
      </c>
      <c r="K502" s="3" t="s">
        <v>24</v>
      </c>
      <c r="L502" s="3" t="s">
        <v>24</v>
      </c>
      <c r="M502" s="3" t="s">
        <v>24</v>
      </c>
      <c r="N502" s="3">
        <v>19642.361000000001</v>
      </c>
      <c r="O502" s="4"/>
      <c r="P502" s="4"/>
      <c r="Q502" s="4"/>
      <c r="R502" s="5">
        <v>0</v>
      </c>
      <c r="S502">
        <v>0</v>
      </c>
      <c r="T502" t="b">
        <v>1</v>
      </c>
      <c r="U502">
        <v>-1</v>
      </c>
      <c r="V502" s="4">
        <v>1.19</v>
      </c>
    </row>
    <row r="503" spans="1:22" hidden="1" x14ac:dyDescent="0.35">
      <c r="A503" t="s">
        <v>27</v>
      </c>
      <c r="B503">
        <v>2</v>
      </c>
      <c r="C503">
        <v>1</v>
      </c>
      <c r="D503">
        <v>10</v>
      </c>
      <c r="E503" t="s">
        <v>25</v>
      </c>
      <c r="F503">
        <v>50</v>
      </c>
      <c r="G503">
        <v>3</v>
      </c>
      <c r="H503">
        <v>20</v>
      </c>
      <c r="I503" t="s">
        <v>26</v>
      </c>
      <c r="J503" s="3">
        <v>717.12245800000005</v>
      </c>
      <c r="K503" s="3" t="s">
        <v>24</v>
      </c>
      <c r="L503" s="3" t="s">
        <v>24</v>
      </c>
      <c r="M503" s="3" t="s">
        <v>24</v>
      </c>
      <c r="N503" s="3">
        <v>19642.361000000001</v>
      </c>
      <c r="O503" s="4"/>
      <c r="P503" s="4"/>
      <c r="Q503" s="4"/>
      <c r="R503" s="5">
        <v>0</v>
      </c>
      <c r="S503">
        <v>0</v>
      </c>
      <c r="T503" t="b">
        <v>1</v>
      </c>
      <c r="U503">
        <v>-1</v>
      </c>
      <c r="V503" s="4">
        <v>2.64</v>
      </c>
    </row>
    <row r="504" spans="1:22" hidden="1" x14ac:dyDescent="0.35">
      <c r="A504" t="s">
        <v>27</v>
      </c>
      <c r="B504">
        <v>2</v>
      </c>
      <c r="C504">
        <v>1</v>
      </c>
      <c r="D504">
        <v>10</v>
      </c>
      <c r="E504" t="s">
        <v>25</v>
      </c>
      <c r="F504">
        <v>200</v>
      </c>
      <c r="G504">
        <v>1</v>
      </c>
      <c r="H504">
        <v>20</v>
      </c>
      <c r="I504" t="s">
        <v>26</v>
      </c>
      <c r="J504" s="3">
        <v>851.76479300000005</v>
      </c>
      <c r="K504" s="3" t="s">
        <v>24</v>
      </c>
      <c r="L504" s="3" t="s">
        <v>24</v>
      </c>
      <c r="M504" s="3" t="s">
        <v>24</v>
      </c>
      <c r="N504" s="3">
        <v>19642.361000000001</v>
      </c>
      <c r="O504" s="4"/>
      <c r="P504" s="4"/>
      <c r="Q504" s="4"/>
      <c r="R504" s="5">
        <v>0</v>
      </c>
      <c r="S504">
        <v>0</v>
      </c>
      <c r="T504" t="b">
        <v>1</v>
      </c>
      <c r="U504">
        <v>-1</v>
      </c>
      <c r="V504" s="4">
        <v>1.1499999999999999</v>
      </c>
    </row>
    <row r="505" spans="1:22" hidden="1" x14ac:dyDescent="0.35">
      <c r="A505" t="s">
        <v>27</v>
      </c>
      <c r="B505">
        <v>2</v>
      </c>
      <c r="C505">
        <v>1</v>
      </c>
      <c r="D505">
        <v>10</v>
      </c>
      <c r="E505" t="s">
        <v>25</v>
      </c>
      <c r="F505">
        <v>200</v>
      </c>
      <c r="G505">
        <v>3</v>
      </c>
      <c r="H505">
        <v>20</v>
      </c>
      <c r="I505" t="s">
        <v>26</v>
      </c>
      <c r="J505" s="3">
        <v>717.12245800000005</v>
      </c>
      <c r="K505" s="3" t="s">
        <v>24</v>
      </c>
      <c r="L505" s="3" t="s">
        <v>24</v>
      </c>
      <c r="M505" s="3" t="s">
        <v>24</v>
      </c>
      <c r="N505" s="3">
        <v>19642.361000000001</v>
      </c>
      <c r="O505" s="4"/>
      <c r="P505" s="4"/>
      <c r="Q505" s="4"/>
      <c r="R505" s="5">
        <v>0</v>
      </c>
      <c r="S505">
        <v>0</v>
      </c>
      <c r="T505" t="b">
        <v>1</v>
      </c>
      <c r="U505">
        <v>-1</v>
      </c>
      <c r="V505" s="4">
        <v>2.72</v>
      </c>
    </row>
    <row r="506" spans="1:22" hidden="1" x14ac:dyDescent="0.35">
      <c r="A506" t="s">
        <v>27</v>
      </c>
      <c r="B506">
        <v>2</v>
      </c>
      <c r="C506">
        <v>2</v>
      </c>
      <c r="D506">
        <v>2</v>
      </c>
      <c r="E506" t="s">
        <v>22</v>
      </c>
      <c r="F506">
        <v>50</v>
      </c>
      <c r="G506">
        <v>1</v>
      </c>
      <c r="H506">
        <v>20</v>
      </c>
      <c r="I506" t="s">
        <v>26</v>
      </c>
      <c r="J506" s="3">
        <v>52.853154000000004</v>
      </c>
      <c r="K506" s="3">
        <v>19642.361000000001</v>
      </c>
      <c r="L506" s="3">
        <v>25782.912</v>
      </c>
      <c r="M506" s="3">
        <v>19642.361000000001</v>
      </c>
      <c r="N506" s="3">
        <v>19642.361000000001</v>
      </c>
      <c r="O506" s="4">
        <v>0</v>
      </c>
      <c r="P506" s="4">
        <v>31.261800000000001</v>
      </c>
      <c r="Q506" s="4">
        <v>0</v>
      </c>
      <c r="R506" s="5">
        <v>3.7000000000000002E-3</v>
      </c>
      <c r="S506">
        <v>23</v>
      </c>
      <c r="T506" t="b">
        <v>0</v>
      </c>
      <c r="U506">
        <v>2</v>
      </c>
      <c r="V506" s="4">
        <v>10.08</v>
      </c>
    </row>
    <row r="507" spans="1:22" hidden="1" x14ac:dyDescent="0.35">
      <c r="A507" t="s">
        <v>27</v>
      </c>
      <c r="B507">
        <v>2</v>
      </c>
      <c r="C507">
        <v>2</v>
      </c>
      <c r="D507">
        <v>2</v>
      </c>
      <c r="E507" t="s">
        <v>22</v>
      </c>
      <c r="F507">
        <v>50</v>
      </c>
      <c r="G507">
        <v>3</v>
      </c>
      <c r="H507">
        <v>20</v>
      </c>
      <c r="I507" t="s">
        <v>26</v>
      </c>
      <c r="J507" s="3">
        <v>32.216217999999998</v>
      </c>
      <c r="K507" s="3">
        <v>21435.544999999998</v>
      </c>
      <c r="L507" s="3">
        <v>25495.303</v>
      </c>
      <c r="M507" s="3">
        <v>19642.361000000001</v>
      </c>
      <c r="N507" s="3">
        <v>19642.361000000001</v>
      </c>
      <c r="O507" s="4">
        <v>9.1292000000000009</v>
      </c>
      <c r="P507" s="4">
        <v>29.797499999999999</v>
      </c>
      <c r="Q507" s="4">
        <v>0</v>
      </c>
      <c r="R507" s="5">
        <v>4.0800000000000003E-2</v>
      </c>
      <c r="S507">
        <v>36</v>
      </c>
      <c r="T507" t="b">
        <v>0</v>
      </c>
      <c r="U507">
        <v>34</v>
      </c>
      <c r="V507" s="4">
        <v>31.12</v>
      </c>
    </row>
    <row r="508" spans="1:22" hidden="1" x14ac:dyDescent="0.35">
      <c r="A508" t="s">
        <v>27</v>
      </c>
      <c r="B508">
        <v>2</v>
      </c>
      <c r="C508">
        <v>2</v>
      </c>
      <c r="D508">
        <v>2</v>
      </c>
      <c r="E508" t="s">
        <v>22</v>
      </c>
      <c r="F508">
        <v>200</v>
      </c>
      <c r="G508">
        <v>1</v>
      </c>
      <c r="H508">
        <v>20</v>
      </c>
      <c r="I508" t="s">
        <v>26</v>
      </c>
      <c r="J508" s="3">
        <v>52.853154000000004</v>
      </c>
      <c r="K508" s="3">
        <v>19642.361000000001</v>
      </c>
      <c r="L508" s="3">
        <v>25782.912</v>
      </c>
      <c r="M508" s="3">
        <v>19642.361000000001</v>
      </c>
      <c r="N508" s="3">
        <v>19642.361000000001</v>
      </c>
      <c r="O508" s="4">
        <v>0</v>
      </c>
      <c r="P508" s="4">
        <v>31.261800000000001</v>
      </c>
      <c r="Q508" s="4">
        <v>0</v>
      </c>
      <c r="R508" s="5">
        <v>3.7000000000000002E-3</v>
      </c>
      <c r="S508">
        <v>23</v>
      </c>
      <c r="T508" t="b">
        <v>0</v>
      </c>
      <c r="U508">
        <v>2</v>
      </c>
      <c r="V508" s="4">
        <v>9.93</v>
      </c>
    </row>
    <row r="509" spans="1:22" hidden="1" x14ac:dyDescent="0.35">
      <c r="A509" t="s">
        <v>27</v>
      </c>
      <c r="B509">
        <v>2</v>
      </c>
      <c r="C509">
        <v>2</v>
      </c>
      <c r="D509">
        <v>2</v>
      </c>
      <c r="E509" t="s">
        <v>22</v>
      </c>
      <c r="F509">
        <v>200</v>
      </c>
      <c r="G509">
        <v>3</v>
      </c>
      <c r="H509">
        <v>20</v>
      </c>
      <c r="I509" t="s">
        <v>26</v>
      </c>
      <c r="J509" s="3">
        <v>32.216217999999998</v>
      </c>
      <c r="K509" s="3">
        <v>21435.544999999998</v>
      </c>
      <c r="L509" s="3">
        <v>25495.303</v>
      </c>
      <c r="M509" s="3">
        <v>19642.361000000001</v>
      </c>
      <c r="N509" s="3">
        <v>19642.361000000001</v>
      </c>
      <c r="O509" s="4">
        <v>9.1292000000000009</v>
      </c>
      <c r="P509" s="4">
        <v>29.797499999999999</v>
      </c>
      <c r="Q509" s="4">
        <v>0</v>
      </c>
      <c r="R509" s="5">
        <v>4.0800000000000003E-2</v>
      </c>
      <c r="S509">
        <v>36</v>
      </c>
      <c r="T509" t="b">
        <v>0</v>
      </c>
      <c r="U509">
        <v>34</v>
      </c>
      <c r="V509" s="4">
        <v>31.66</v>
      </c>
    </row>
    <row r="510" spans="1:22" hidden="1" x14ac:dyDescent="0.35">
      <c r="A510" t="s">
        <v>27</v>
      </c>
      <c r="B510">
        <v>2</v>
      </c>
      <c r="C510">
        <v>2</v>
      </c>
      <c r="D510">
        <v>2</v>
      </c>
      <c r="E510" t="s">
        <v>25</v>
      </c>
      <c r="F510">
        <v>50</v>
      </c>
      <c r="G510">
        <v>1</v>
      </c>
      <c r="H510">
        <v>20</v>
      </c>
      <c r="I510" t="s">
        <v>26</v>
      </c>
      <c r="J510" s="3">
        <v>144.364701</v>
      </c>
      <c r="K510" s="3" t="s">
        <v>24</v>
      </c>
      <c r="L510" s="3" t="s">
        <v>24</v>
      </c>
      <c r="M510" s="3" t="s">
        <v>24</v>
      </c>
      <c r="N510" s="3">
        <v>19642.361000000001</v>
      </c>
      <c r="O510" s="4"/>
      <c r="P510" s="4"/>
      <c r="Q510" s="4"/>
      <c r="R510" s="5">
        <v>0</v>
      </c>
      <c r="S510">
        <v>0</v>
      </c>
      <c r="T510" t="b">
        <v>1</v>
      </c>
      <c r="U510">
        <v>-1</v>
      </c>
      <c r="V510" s="4">
        <v>1.92</v>
      </c>
    </row>
    <row r="511" spans="1:22" hidden="1" x14ac:dyDescent="0.35">
      <c r="A511" t="s">
        <v>27</v>
      </c>
      <c r="B511">
        <v>2</v>
      </c>
      <c r="C511">
        <v>2</v>
      </c>
      <c r="D511">
        <v>2</v>
      </c>
      <c r="E511" t="s">
        <v>25</v>
      </c>
      <c r="F511">
        <v>50</v>
      </c>
      <c r="G511">
        <v>3</v>
      </c>
      <c r="H511">
        <v>20</v>
      </c>
      <c r="I511" t="s">
        <v>26</v>
      </c>
      <c r="J511" s="3">
        <v>122.090374</v>
      </c>
      <c r="K511" s="3">
        <v>21723.153999999999</v>
      </c>
      <c r="L511" s="3">
        <v>21723.153999999999</v>
      </c>
      <c r="M511" s="3">
        <v>21723.153999999999</v>
      </c>
      <c r="N511" s="3">
        <v>19642.361000000001</v>
      </c>
      <c r="O511" s="4">
        <v>10.593400000000001</v>
      </c>
      <c r="P511" s="4">
        <v>10.593400000000001</v>
      </c>
      <c r="Q511" s="4">
        <v>10.593400000000001</v>
      </c>
      <c r="R511" s="5">
        <v>1E-4</v>
      </c>
      <c r="S511">
        <v>1</v>
      </c>
      <c r="T511" t="b">
        <v>0</v>
      </c>
      <c r="U511">
        <v>1</v>
      </c>
      <c r="V511" s="4">
        <v>4.6900000000000004</v>
      </c>
    </row>
    <row r="512" spans="1:22" hidden="1" x14ac:dyDescent="0.35">
      <c r="A512" t="s">
        <v>27</v>
      </c>
      <c r="B512">
        <v>2</v>
      </c>
      <c r="C512">
        <v>2</v>
      </c>
      <c r="D512">
        <v>2</v>
      </c>
      <c r="E512" t="s">
        <v>25</v>
      </c>
      <c r="F512">
        <v>200</v>
      </c>
      <c r="G512">
        <v>1</v>
      </c>
      <c r="H512">
        <v>20</v>
      </c>
      <c r="I512" t="s">
        <v>26</v>
      </c>
      <c r="J512" s="3">
        <v>144.364701</v>
      </c>
      <c r="K512" s="3" t="s">
        <v>24</v>
      </c>
      <c r="L512" s="3" t="s">
        <v>24</v>
      </c>
      <c r="M512" s="3" t="s">
        <v>24</v>
      </c>
      <c r="N512" s="3">
        <v>19642.361000000001</v>
      </c>
      <c r="O512" s="4"/>
      <c r="P512" s="4"/>
      <c r="Q512" s="4"/>
      <c r="R512" s="5">
        <v>0</v>
      </c>
      <c r="S512">
        <v>0</v>
      </c>
      <c r="T512" t="b">
        <v>1</v>
      </c>
      <c r="U512">
        <v>-1</v>
      </c>
      <c r="V512" s="4">
        <v>1.97</v>
      </c>
    </row>
    <row r="513" spans="1:22" hidden="1" x14ac:dyDescent="0.35">
      <c r="A513" t="s">
        <v>27</v>
      </c>
      <c r="B513">
        <v>2</v>
      </c>
      <c r="C513">
        <v>2</v>
      </c>
      <c r="D513">
        <v>2</v>
      </c>
      <c r="E513" t="s">
        <v>25</v>
      </c>
      <c r="F513">
        <v>200</v>
      </c>
      <c r="G513">
        <v>3</v>
      </c>
      <c r="H513">
        <v>20</v>
      </c>
      <c r="I513" t="s">
        <v>26</v>
      </c>
      <c r="J513" s="3">
        <v>122.090374</v>
      </c>
      <c r="K513" s="3">
        <v>21723.153999999999</v>
      </c>
      <c r="L513" s="3">
        <v>21723.153999999999</v>
      </c>
      <c r="M513" s="3">
        <v>21723.153999999999</v>
      </c>
      <c r="N513" s="3">
        <v>19642.361000000001</v>
      </c>
      <c r="O513" s="4">
        <v>10.593400000000001</v>
      </c>
      <c r="P513" s="4">
        <v>10.593400000000001</v>
      </c>
      <c r="Q513" s="4">
        <v>10.593400000000001</v>
      </c>
      <c r="R513" s="5">
        <v>1E-4</v>
      </c>
      <c r="S513">
        <v>1</v>
      </c>
      <c r="T513" t="b">
        <v>0</v>
      </c>
      <c r="U513">
        <v>1</v>
      </c>
      <c r="V513" s="4">
        <v>4.72</v>
      </c>
    </row>
    <row r="514" spans="1:22" hidden="1" x14ac:dyDescent="0.35">
      <c r="A514" t="s">
        <v>27</v>
      </c>
      <c r="B514">
        <v>2</v>
      </c>
      <c r="C514">
        <v>2</v>
      </c>
      <c r="D514">
        <v>5</v>
      </c>
      <c r="E514" t="s">
        <v>22</v>
      </c>
      <c r="F514">
        <v>50</v>
      </c>
      <c r="G514">
        <v>1</v>
      </c>
      <c r="H514">
        <v>20</v>
      </c>
      <c r="I514" t="s">
        <v>26</v>
      </c>
      <c r="J514" s="3">
        <v>118.66583900000001</v>
      </c>
      <c r="K514" s="3">
        <v>21435.544999999998</v>
      </c>
      <c r="L514" s="3">
        <v>25378.674999999999</v>
      </c>
      <c r="M514" s="3">
        <v>19642.361000000001</v>
      </c>
      <c r="N514" s="3">
        <v>19642.361000000001</v>
      </c>
      <c r="O514" s="4">
        <v>9.1292000000000009</v>
      </c>
      <c r="P514" s="4">
        <v>29.203800000000001</v>
      </c>
      <c r="Q514" s="4">
        <v>0</v>
      </c>
      <c r="R514" s="5">
        <v>6.6E-3</v>
      </c>
      <c r="S514">
        <v>33</v>
      </c>
      <c r="T514" t="b">
        <v>0</v>
      </c>
      <c r="U514">
        <v>11</v>
      </c>
      <c r="V514" s="4">
        <v>12.02</v>
      </c>
    </row>
    <row r="515" spans="1:22" hidden="1" x14ac:dyDescent="0.35">
      <c r="A515" t="s">
        <v>27</v>
      </c>
      <c r="B515">
        <v>2</v>
      </c>
      <c r="C515">
        <v>2</v>
      </c>
      <c r="D515">
        <v>5</v>
      </c>
      <c r="E515" t="s">
        <v>22</v>
      </c>
      <c r="F515">
        <v>50</v>
      </c>
      <c r="G515">
        <v>3</v>
      </c>
      <c r="H515">
        <v>20</v>
      </c>
      <c r="I515" t="s">
        <v>26</v>
      </c>
      <c r="J515" s="3">
        <v>99.776706000000004</v>
      </c>
      <c r="K515" s="3">
        <v>21435.544999999998</v>
      </c>
      <c r="L515" s="3">
        <v>25378.674999999999</v>
      </c>
      <c r="M515" s="3">
        <v>19642.361000000001</v>
      </c>
      <c r="N515" s="3">
        <v>19642.361000000001</v>
      </c>
      <c r="O515" s="4">
        <v>9.1292000000000009</v>
      </c>
      <c r="P515" s="4">
        <v>29.203800000000001</v>
      </c>
      <c r="Q515" s="4">
        <v>0</v>
      </c>
      <c r="R515" s="5">
        <v>1.17E-2</v>
      </c>
      <c r="S515">
        <v>34</v>
      </c>
      <c r="T515" t="b">
        <v>0</v>
      </c>
      <c r="U515">
        <v>20</v>
      </c>
      <c r="V515" s="4">
        <v>33.14</v>
      </c>
    </row>
    <row r="516" spans="1:22" hidden="1" x14ac:dyDescent="0.35">
      <c r="A516" t="s">
        <v>27</v>
      </c>
      <c r="B516">
        <v>2</v>
      </c>
      <c r="C516">
        <v>2</v>
      </c>
      <c r="D516">
        <v>5</v>
      </c>
      <c r="E516" t="s">
        <v>22</v>
      </c>
      <c r="F516">
        <v>200</v>
      </c>
      <c r="G516">
        <v>1</v>
      </c>
      <c r="H516">
        <v>20</v>
      </c>
      <c r="I516" t="s">
        <v>26</v>
      </c>
      <c r="J516" s="3">
        <v>118.66583900000001</v>
      </c>
      <c r="K516" s="3">
        <v>21435.544999999998</v>
      </c>
      <c r="L516" s="3">
        <v>25378.674999999999</v>
      </c>
      <c r="M516" s="3">
        <v>19642.361000000001</v>
      </c>
      <c r="N516" s="3">
        <v>19642.361000000001</v>
      </c>
      <c r="O516" s="4">
        <v>9.1292000000000009</v>
      </c>
      <c r="P516" s="4">
        <v>29.203800000000001</v>
      </c>
      <c r="Q516" s="4">
        <v>0</v>
      </c>
      <c r="R516" s="5">
        <v>6.6E-3</v>
      </c>
      <c r="S516">
        <v>33</v>
      </c>
      <c r="T516" t="b">
        <v>0</v>
      </c>
      <c r="U516">
        <v>11</v>
      </c>
      <c r="V516" s="4">
        <v>11.77</v>
      </c>
    </row>
    <row r="517" spans="1:22" hidden="1" x14ac:dyDescent="0.35">
      <c r="A517" t="s">
        <v>27</v>
      </c>
      <c r="B517">
        <v>2</v>
      </c>
      <c r="C517">
        <v>2</v>
      </c>
      <c r="D517">
        <v>5</v>
      </c>
      <c r="E517" t="s">
        <v>22</v>
      </c>
      <c r="F517">
        <v>200</v>
      </c>
      <c r="G517">
        <v>3</v>
      </c>
      <c r="H517">
        <v>20</v>
      </c>
      <c r="I517" t="s">
        <v>26</v>
      </c>
      <c r="J517" s="3">
        <v>99.776706000000004</v>
      </c>
      <c r="K517" s="3">
        <v>21435.544999999998</v>
      </c>
      <c r="L517" s="3">
        <v>25378.674999999999</v>
      </c>
      <c r="M517" s="3">
        <v>19642.361000000001</v>
      </c>
      <c r="N517" s="3">
        <v>19642.361000000001</v>
      </c>
      <c r="O517" s="4">
        <v>9.1292000000000009</v>
      </c>
      <c r="P517" s="4">
        <v>29.203800000000001</v>
      </c>
      <c r="Q517" s="4">
        <v>0</v>
      </c>
      <c r="R517" s="5">
        <v>1.17E-2</v>
      </c>
      <c r="S517">
        <v>34</v>
      </c>
      <c r="T517" t="b">
        <v>0</v>
      </c>
      <c r="U517">
        <v>20</v>
      </c>
      <c r="V517" s="4">
        <v>33.33</v>
      </c>
    </row>
    <row r="518" spans="1:22" hidden="1" x14ac:dyDescent="0.35">
      <c r="A518" t="s">
        <v>27</v>
      </c>
      <c r="B518">
        <v>2</v>
      </c>
      <c r="C518">
        <v>2</v>
      </c>
      <c r="D518">
        <v>5</v>
      </c>
      <c r="E518" t="s">
        <v>25</v>
      </c>
      <c r="F518">
        <v>50</v>
      </c>
      <c r="G518">
        <v>1</v>
      </c>
      <c r="H518">
        <v>20</v>
      </c>
      <c r="I518" t="s">
        <v>26</v>
      </c>
      <c r="J518" s="3">
        <v>358.60027500000001</v>
      </c>
      <c r="K518" s="3">
        <v>21435.544999999998</v>
      </c>
      <c r="L518" s="3">
        <v>21435.544999999998</v>
      </c>
      <c r="M518" s="3">
        <v>21435.544999999998</v>
      </c>
      <c r="N518" s="3">
        <v>19642.361000000001</v>
      </c>
      <c r="O518" s="4">
        <v>9.1292000000000009</v>
      </c>
      <c r="P518" s="4">
        <v>9.1292000000000009</v>
      </c>
      <c r="Q518" s="4">
        <v>9.1292000000000009</v>
      </c>
      <c r="R518" s="5">
        <v>4.0000000000000002E-4</v>
      </c>
      <c r="S518">
        <v>4</v>
      </c>
      <c r="T518" t="b">
        <v>0</v>
      </c>
      <c r="U518">
        <v>1</v>
      </c>
      <c r="V518" s="4">
        <v>1.95</v>
      </c>
    </row>
    <row r="519" spans="1:22" hidden="1" x14ac:dyDescent="0.35">
      <c r="A519" t="s">
        <v>27</v>
      </c>
      <c r="B519">
        <v>2</v>
      </c>
      <c r="C519">
        <v>2</v>
      </c>
      <c r="D519">
        <v>5</v>
      </c>
      <c r="E519" t="s">
        <v>25</v>
      </c>
      <c r="F519">
        <v>50</v>
      </c>
      <c r="G519">
        <v>3</v>
      </c>
      <c r="H519">
        <v>20</v>
      </c>
      <c r="I519" t="s">
        <v>26</v>
      </c>
      <c r="J519" s="3">
        <v>287.02877100000001</v>
      </c>
      <c r="K519" s="3">
        <v>21723.153999999999</v>
      </c>
      <c r="L519" s="3">
        <v>21723.153999999999</v>
      </c>
      <c r="M519" s="3">
        <v>21723.153999999999</v>
      </c>
      <c r="N519" s="3">
        <v>19642.361000000001</v>
      </c>
      <c r="O519" s="4">
        <v>10.593400000000001</v>
      </c>
      <c r="P519" s="4">
        <v>10.593400000000001</v>
      </c>
      <c r="Q519" s="4">
        <v>10.593400000000001</v>
      </c>
      <c r="R519" s="5">
        <v>1E-4</v>
      </c>
      <c r="S519">
        <v>1</v>
      </c>
      <c r="T519" t="b">
        <v>0</v>
      </c>
      <c r="U519">
        <v>1</v>
      </c>
      <c r="V519" s="4">
        <v>63.48</v>
      </c>
    </row>
    <row r="520" spans="1:22" hidden="1" x14ac:dyDescent="0.35">
      <c r="A520" t="s">
        <v>27</v>
      </c>
      <c r="B520">
        <v>2</v>
      </c>
      <c r="C520">
        <v>2</v>
      </c>
      <c r="D520">
        <v>5</v>
      </c>
      <c r="E520" t="s">
        <v>25</v>
      </c>
      <c r="F520">
        <v>200</v>
      </c>
      <c r="G520">
        <v>1</v>
      </c>
      <c r="H520">
        <v>20</v>
      </c>
      <c r="I520" t="s">
        <v>26</v>
      </c>
      <c r="J520" s="3">
        <v>358.60027500000001</v>
      </c>
      <c r="K520" s="3">
        <v>21435.544999999998</v>
      </c>
      <c r="L520" s="3">
        <v>21435.544999999998</v>
      </c>
      <c r="M520" s="3">
        <v>21435.544999999998</v>
      </c>
      <c r="N520" s="3">
        <v>19642.361000000001</v>
      </c>
      <c r="O520" s="4">
        <v>9.1292000000000009</v>
      </c>
      <c r="P520" s="4">
        <v>9.1292000000000009</v>
      </c>
      <c r="Q520" s="4">
        <v>9.1292000000000009</v>
      </c>
      <c r="R520" s="5">
        <v>4.0000000000000002E-4</v>
      </c>
      <c r="S520">
        <v>4</v>
      </c>
      <c r="T520" t="b">
        <v>0</v>
      </c>
      <c r="U520">
        <v>1</v>
      </c>
      <c r="V520" s="4">
        <v>2.06</v>
      </c>
    </row>
    <row r="521" spans="1:22" hidden="1" x14ac:dyDescent="0.35">
      <c r="A521" t="s">
        <v>27</v>
      </c>
      <c r="B521">
        <v>2</v>
      </c>
      <c r="C521">
        <v>2</v>
      </c>
      <c r="D521">
        <v>5</v>
      </c>
      <c r="E521" t="s">
        <v>25</v>
      </c>
      <c r="F521">
        <v>200</v>
      </c>
      <c r="G521">
        <v>3</v>
      </c>
      <c r="H521">
        <v>20</v>
      </c>
      <c r="I521" t="s">
        <v>26</v>
      </c>
      <c r="J521" s="3">
        <v>290.631846</v>
      </c>
      <c r="K521" s="3">
        <v>21839.781999999999</v>
      </c>
      <c r="L521" s="3">
        <v>21839.781999999999</v>
      </c>
      <c r="M521" s="3">
        <v>21839.781999999999</v>
      </c>
      <c r="N521" s="3">
        <v>19642.361000000001</v>
      </c>
      <c r="O521" s="4">
        <v>11.187200000000001</v>
      </c>
      <c r="P521" s="4">
        <v>11.187200000000001</v>
      </c>
      <c r="Q521" s="4">
        <v>11.187200000000001</v>
      </c>
      <c r="R521" s="5">
        <v>1E-4</v>
      </c>
      <c r="S521">
        <v>1</v>
      </c>
      <c r="T521" t="b">
        <v>0</v>
      </c>
      <c r="U521">
        <v>1</v>
      </c>
      <c r="V521" s="4">
        <v>244.43</v>
      </c>
    </row>
    <row r="522" spans="1:22" hidden="1" x14ac:dyDescent="0.35">
      <c r="A522" t="s">
        <v>27</v>
      </c>
      <c r="B522">
        <v>2</v>
      </c>
      <c r="C522">
        <v>2</v>
      </c>
      <c r="D522">
        <v>10</v>
      </c>
      <c r="E522" t="s">
        <v>22</v>
      </c>
      <c r="F522">
        <v>50</v>
      </c>
      <c r="G522">
        <v>1</v>
      </c>
      <c r="H522">
        <v>20</v>
      </c>
      <c r="I522" t="s">
        <v>26</v>
      </c>
      <c r="J522" s="3">
        <v>234.80401800000001</v>
      </c>
      <c r="K522" s="3">
        <v>21435.544999999998</v>
      </c>
      <c r="L522" s="3">
        <v>21565.5</v>
      </c>
      <c r="M522" s="3">
        <v>19703.163</v>
      </c>
      <c r="N522" s="3">
        <v>19642.361000000001</v>
      </c>
      <c r="O522" s="4">
        <v>9.1292000000000009</v>
      </c>
      <c r="P522" s="4">
        <v>9.7908000000000008</v>
      </c>
      <c r="Q522" s="4">
        <v>0.3095</v>
      </c>
      <c r="R522" s="5">
        <v>4.1000000000000003E-3</v>
      </c>
      <c r="S522">
        <v>23</v>
      </c>
      <c r="T522" t="b">
        <v>0</v>
      </c>
      <c r="U522">
        <v>14</v>
      </c>
      <c r="V522" s="4">
        <v>10.82</v>
      </c>
    </row>
    <row r="523" spans="1:22" hidden="1" x14ac:dyDescent="0.35">
      <c r="A523" t="s">
        <v>27</v>
      </c>
      <c r="B523">
        <v>2</v>
      </c>
      <c r="C523">
        <v>2</v>
      </c>
      <c r="D523">
        <v>10</v>
      </c>
      <c r="E523" t="s">
        <v>22</v>
      </c>
      <c r="F523">
        <v>50</v>
      </c>
      <c r="G523">
        <v>3</v>
      </c>
      <c r="H523">
        <v>20</v>
      </c>
      <c r="I523" t="s">
        <v>26</v>
      </c>
      <c r="J523" s="3">
        <v>223.42736199999999</v>
      </c>
      <c r="K523" s="3">
        <v>21435.544999999998</v>
      </c>
      <c r="L523" s="3">
        <v>23585.491000000002</v>
      </c>
      <c r="M523" s="3">
        <v>19642.361000000001</v>
      </c>
      <c r="N523" s="3">
        <v>19642.361000000001</v>
      </c>
      <c r="O523" s="4">
        <v>9.1292000000000009</v>
      </c>
      <c r="P523" s="4">
        <v>20.0746</v>
      </c>
      <c r="Q523" s="4">
        <v>0</v>
      </c>
      <c r="R523" s="5">
        <v>4.4000000000000003E-3</v>
      </c>
      <c r="S523">
        <v>26</v>
      </c>
      <c r="T523" t="b">
        <v>0</v>
      </c>
      <c r="U523">
        <v>24</v>
      </c>
      <c r="V523" s="4">
        <v>31.35</v>
      </c>
    </row>
    <row r="524" spans="1:22" hidden="1" x14ac:dyDescent="0.35">
      <c r="A524" t="s">
        <v>27</v>
      </c>
      <c r="B524">
        <v>2</v>
      </c>
      <c r="C524">
        <v>2</v>
      </c>
      <c r="D524">
        <v>10</v>
      </c>
      <c r="E524" t="s">
        <v>22</v>
      </c>
      <c r="F524">
        <v>200</v>
      </c>
      <c r="G524">
        <v>1</v>
      </c>
      <c r="H524">
        <v>20</v>
      </c>
      <c r="I524" t="s">
        <v>26</v>
      </c>
      <c r="J524" s="3">
        <v>234.80401800000001</v>
      </c>
      <c r="K524" s="3">
        <v>21435.544999999998</v>
      </c>
      <c r="L524" s="3">
        <v>21565.5</v>
      </c>
      <c r="M524" s="3">
        <v>19703.163</v>
      </c>
      <c r="N524" s="3">
        <v>19642.361000000001</v>
      </c>
      <c r="O524" s="4">
        <v>9.1292000000000009</v>
      </c>
      <c r="P524" s="4">
        <v>9.7908000000000008</v>
      </c>
      <c r="Q524" s="4">
        <v>0.3095</v>
      </c>
      <c r="R524" s="5">
        <v>4.1000000000000003E-3</v>
      </c>
      <c r="S524">
        <v>23</v>
      </c>
      <c r="T524" t="b">
        <v>0</v>
      </c>
      <c r="U524">
        <v>14</v>
      </c>
      <c r="V524" s="4">
        <v>10.79</v>
      </c>
    </row>
    <row r="525" spans="1:22" hidden="1" x14ac:dyDescent="0.35">
      <c r="A525" t="s">
        <v>27</v>
      </c>
      <c r="B525">
        <v>2</v>
      </c>
      <c r="C525">
        <v>2</v>
      </c>
      <c r="D525">
        <v>10</v>
      </c>
      <c r="E525" t="s">
        <v>22</v>
      </c>
      <c r="F525">
        <v>200</v>
      </c>
      <c r="G525">
        <v>3</v>
      </c>
      <c r="H525">
        <v>20</v>
      </c>
      <c r="I525" t="s">
        <v>26</v>
      </c>
      <c r="J525" s="3">
        <v>223.42736199999999</v>
      </c>
      <c r="K525" s="3">
        <v>21435.544999999998</v>
      </c>
      <c r="L525" s="3">
        <v>23585.491000000002</v>
      </c>
      <c r="M525" s="3">
        <v>19642.361000000001</v>
      </c>
      <c r="N525" s="3">
        <v>19642.361000000001</v>
      </c>
      <c r="O525" s="4">
        <v>9.1292000000000009</v>
      </c>
      <c r="P525" s="4">
        <v>20.0746</v>
      </c>
      <c r="Q525" s="4">
        <v>0</v>
      </c>
      <c r="R525" s="5">
        <v>4.4000000000000003E-3</v>
      </c>
      <c r="S525">
        <v>26</v>
      </c>
      <c r="T525" t="b">
        <v>0</v>
      </c>
      <c r="U525">
        <v>24</v>
      </c>
      <c r="V525" s="4">
        <v>31.16</v>
      </c>
    </row>
    <row r="526" spans="1:22" hidden="1" x14ac:dyDescent="0.35">
      <c r="A526" t="s">
        <v>27</v>
      </c>
      <c r="B526">
        <v>2</v>
      </c>
      <c r="C526">
        <v>2</v>
      </c>
      <c r="D526">
        <v>10</v>
      </c>
      <c r="E526" t="s">
        <v>25</v>
      </c>
      <c r="F526">
        <v>50</v>
      </c>
      <c r="G526">
        <v>1</v>
      </c>
      <c r="H526">
        <v>20</v>
      </c>
      <c r="I526" t="s">
        <v>26</v>
      </c>
      <c r="J526" s="3">
        <v>722.635671</v>
      </c>
      <c r="K526" s="3">
        <v>21723.153999999999</v>
      </c>
      <c r="L526" s="3">
        <v>21723.153999999999</v>
      </c>
      <c r="M526" s="3">
        <v>21723.153999999999</v>
      </c>
      <c r="N526" s="3">
        <v>19642.361000000001</v>
      </c>
      <c r="O526" s="4">
        <v>10.593400000000001</v>
      </c>
      <c r="P526" s="4">
        <v>10.593400000000001</v>
      </c>
      <c r="Q526" s="4">
        <v>10.593400000000001</v>
      </c>
      <c r="R526" s="5">
        <v>1E-4</v>
      </c>
      <c r="S526">
        <v>1</v>
      </c>
      <c r="T526" t="b">
        <v>0</v>
      </c>
      <c r="U526">
        <v>1</v>
      </c>
      <c r="V526" s="4">
        <v>1.92</v>
      </c>
    </row>
    <row r="527" spans="1:22" hidden="1" x14ac:dyDescent="0.35">
      <c r="A527" t="s">
        <v>27</v>
      </c>
      <c r="B527">
        <v>2</v>
      </c>
      <c r="C527">
        <v>2</v>
      </c>
      <c r="D527">
        <v>10</v>
      </c>
      <c r="E527" t="s">
        <v>25</v>
      </c>
      <c r="F527">
        <v>50</v>
      </c>
      <c r="G527">
        <v>3</v>
      </c>
      <c r="H527">
        <v>20</v>
      </c>
      <c r="I527" t="s">
        <v>26</v>
      </c>
      <c r="J527" s="3">
        <v>557.93394599999999</v>
      </c>
      <c r="K527" s="3">
        <v>19703.163</v>
      </c>
      <c r="L527" s="3">
        <v>25495.303</v>
      </c>
      <c r="M527" s="3">
        <v>19703.163</v>
      </c>
      <c r="N527" s="3">
        <v>19642.361000000001</v>
      </c>
      <c r="O527" s="4">
        <v>0.3095</v>
      </c>
      <c r="P527" s="4">
        <v>29.797499999999999</v>
      </c>
      <c r="Q527" s="4">
        <v>0.3095</v>
      </c>
      <c r="R527" s="5">
        <v>2.9999999999999997E-4</v>
      </c>
      <c r="S527">
        <v>3</v>
      </c>
      <c r="T527" t="b">
        <v>0</v>
      </c>
      <c r="U527">
        <v>3</v>
      </c>
      <c r="V527" s="4">
        <v>63.9</v>
      </c>
    </row>
    <row r="528" spans="1:22" hidden="1" x14ac:dyDescent="0.35">
      <c r="A528" t="s">
        <v>27</v>
      </c>
      <c r="B528">
        <v>2</v>
      </c>
      <c r="C528">
        <v>2</v>
      </c>
      <c r="D528">
        <v>10</v>
      </c>
      <c r="E528" t="s">
        <v>25</v>
      </c>
      <c r="F528">
        <v>200</v>
      </c>
      <c r="G528">
        <v>1</v>
      </c>
      <c r="H528">
        <v>20</v>
      </c>
      <c r="I528" t="s">
        <v>26</v>
      </c>
      <c r="J528" s="3">
        <v>722.635671</v>
      </c>
      <c r="K528" s="3">
        <v>21723.153999999999</v>
      </c>
      <c r="L528" s="3">
        <v>21723.153999999999</v>
      </c>
      <c r="M528" s="3">
        <v>21723.153999999999</v>
      </c>
      <c r="N528" s="3">
        <v>19642.361000000001</v>
      </c>
      <c r="O528" s="4">
        <v>10.593400000000001</v>
      </c>
      <c r="P528" s="4">
        <v>10.593400000000001</v>
      </c>
      <c r="Q528" s="4">
        <v>10.593400000000001</v>
      </c>
      <c r="R528" s="5">
        <v>1E-4</v>
      </c>
      <c r="S528">
        <v>1</v>
      </c>
      <c r="T528" t="b">
        <v>0</v>
      </c>
      <c r="U528">
        <v>1</v>
      </c>
      <c r="V528" s="4">
        <v>1.93</v>
      </c>
    </row>
    <row r="529" spans="1:22" hidden="1" x14ac:dyDescent="0.35">
      <c r="A529" t="s">
        <v>27</v>
      </c>
      <c r="B529">
        <v>2</v>
      </c>
      <c r="C529">
        <v>2</v>
      </c>
      <c r="D529">
        <v>10</v>
      </c>
      <c r="E529" t="s">
        <v>25</v>
      </c>
      <c r="F529">
        <v>200</v>
      </c>
      <c r="G529">
        <v>3</v>
      </c>
      <c r="H529">
        <v>20</v>
      </c>
      <c r="I529" t="s">
        <v>26</v>
      </c>
      <c r="J529" s="3">
        <v>559.12510799999995</v>
      </c>
      <c r="K529" s="3">
        <v>21565.5</v>
      </c>
      <c r="L529" s="3">
        <v>23358.684000000001</v>
      </c>
      <c r="M529" s="3">
        <v>21565.5</v>
      </c>
      <c r="N529" s="3">
        <v>19642.361000000001</v>
      </c>
      <c r="O529" s="4">
        <v>9.7908000000000008</v>
      </c>
      <c r="P529" s="4">
        <v>18.919899999999998</v>
      </c>
      <c r="Q529" s="4">
        <v>9.7908000000000008</v>
      </c>
      <c r="R529" s="5">
        <v>2.9999999999999997E-4</v>
      </c>
      <c r="S529">
        <v>3</v>
      </c>
      <c r="T529" t="b">
        <v>0</v>
      </c>
      <c r="U529">
        <v>3</v>
      </c>
      <c r="V529" s="4">
        <v>243.56</v>
      </c>
    </row>
    <row r="530" spans="1:22" hidden="1" x14ac:dyDescent="0.35">
      <c r="A530" t="s">
        <v>27</v>
      </c>
      <c r="B530">
        <v>2</v>
      </c>
      <c r="C530">
        <v>3</v>
      </c>
      <c r="D530">
        <v>2</v>
      </c>
      <c r="E530" t="s">
        <v>22</v>
      </c>
      <c r="F530">
        <v>50</v>
      </c>
      <c r="G530">
        <v>1</v>
      </c>
      <c r="H530">
        <v>20</v>
      </c>
      <c r="I530" t="s">
        <v>26</v>
      </c>
      <c r="J530" s="3">
        <v>49.981045000000002</v>
      </c>
      <c r="K530" s="3">
        <v>19642.361000000001</v>
      </c>
      <c r="L530" s="3">
        <v>25782.912</v>
      </c>
      <c r="M530" s="3">
        <v>19642.361000000001</v>
      </c>
      <c r="N530" s="3">
        <v>19642.361000000001</v>
      </c>
      <c r="O530" s="4">
        <v>0</v>
      </c>
      <c r="P530" s="4">
        <v>31.261800000000001</v>
      </c>
      <c r="Q530" s="4">
        <v>0</v>
      </c>
      <c r="R530" s="5">
        <v>9.7999999999999997E-3</v>
      </c>
      <c r="S530">
        <v>34</v>
      </c>
      <c r="T530" t="b">
        <v>0</v>
      </c>
      <c r="U530">
        <v>9</v>
      </c>
      <c r="V530" s="4">
        <v>15.34</v>
      </c>
    </row>
    <row r="531" spans="1:22" hidden="1" x14ac:dyDescent="0.35">
      <c r="A531" t="s">
        <v>27</v>
      </c>
      <c r="B531">
        <v>2</v>
      </c>
      <c r="C531">
        <v>3</v>
      </c>
      <c r="D531">
        <v>2</v>
      </c>
      <c r="E531" t="s">
        <v>22</v>
      </c>
      <c r="F531">
        <v>50</v>
      </c>
      <c r="G531">
        <v>3</v>
      </c>
      <c r="H531">
        <v>20</v>
      </c>
      <c r="I531" t="s">
        <v>26</v>
      </c>
      <c r="J531" s="3">
        <v>49.981045000000002</v>
      </c>
      <c r="K531" s="3">
        <v>19642.361000000001</v>
      </c>
      <c r="L531" s="3">
        <v>25782.912</v>
      </c>
      <c r="M531" s="3">
        <v>19642.361000000001</v>
      </c>
      <c r="N531" s="3">
        <v>19642.361000000001</v>
      </c>
      <c r="O531" s="4">
        <v>0</v>
      </c>
      <c r="P531" s="4">
        <v>31.261800000000001</v>
      </c>
      <c r="Q531" s="4">
        <v>0</v>
      </c>
      <c r="R531" s="5">
        <v>9.7999999999999997E-3</v>
      </c>
      <c r="S531">
        <v>34</v>
      </c>
      <c r="T531" t="b">
        <v>0</v>
      </c>
      <c r="U531">
        <v>9</v>
      </c>
      <c r="V531" s="4">
        <v>43.82</v>
      </c>
    </row>
    <row r="532" spans="1:22" hidden="1" x14ac:dyDescent="0.35">
      <c r="A532" t="s">
        <v>27</v>
      </c>
      <c r="B532">
        <v>2</v>
      </c>
      <c r="C532">
        <v>3</v>
      </c>
      <c r="D532">
        <v>2</v>
      </c>
      <c r="E532" t="s">
        <v>22</v>
      </c>
      <c r="F532">
        <v>200</v>
      </c>
      <c r="G532">
        <v>1</v>
      </c>
      <c r="H532">
        <v>20</v>
      </c>
      <c r="I532" t="s">
        <v>26</v>
      </c>
      <c r="J532" s="3">
        <v>49.696925</v>
      </c>
      <c r="K532" s="3">
        <v>19642.361000000001</v>
      </c>
      <c r="L532" s="3">
        <v>21723.153999999999</v>
      </c>
      <c r="M532" s="3">
        <v>19642.361000000001</v>
      </c>
      <c r="N532" s="3">
        <v>19642.361000000001</v>
      </c>
      <c r="O532" s="4">
        <v>0</v>
      </c>
      <c r="P532" s="4">
        <v>10.593400000000001</v>
      </c>
      <c r="Q532" s="4">
        <v>0</v>
      </c>
      <c r="R532" s="5">
        <v>1.0800000000000001E-2</v>
      </c>
      <c r="S532">
        <v>35</v>
      </c>
      <c r="T532" t="b">
        <v>0</v>
      </c>
      <c r="U532">
        <v>8</v>
      </c>
      <c r="V532" s="4">
        <v>21.26</v>
      </c>
    </row>
    <row r="533" spans="1:22" hidden="1" x14ac:dyDescent="0.35">
      <c r="A533" t="s">
        <v>27</v>
      </c>
      <c r="B533">
        <v>2</v>
      </c>
      <c r="C533">
        <v>3</v>
      </c>
      <c r="D533">
        <v>2</v>
      </c>
      <c r="E533" t="s">
        <v>22</v>
      </c>
      <c r="F533">
        <v>200</v>
      </c>
      <c r="G533">
        <v>3</v>
      </c>
      <c r="H533">
        <v>20</v>
      </c>
      <c r="I533" t="s">
        <v>26</v>
      </c>
      <c r="J533" s="3">
        <v>49.696925</v>
      </c>
      <c r="K533" s="3">
        <v>19642.361000000001</v>
      </c>
      <c r="L533" s="3">
        <v>21723.153999999999</v>
      </c>
      <c r="M533" s="3">
        <v>19642.361000000001</v>
      </c>
      <c r="N533" s="3">
        <v>19642.361000000001</v>
      </c>
      <c r="O533" s="4">
        <v>0</v>
      </c>
      <c r="P533" s="4">
        <v>10.593400000000001</v>
      </c>
      <c r="Q533" s="4">
        <v>0</v>
      </c>
      <c r="R533" s="5">
        <v>1.0800000000000001E-2</v>
      </c>
      <c r="S533">
        <v>35</v>
      </c>
      <c r="T533" t="b">
        <v>0</v>
      </c>
      <c r="U533">
        <v>8</v>
      </c>
      <c r="V533" s="4">
        <v>57.91</v>
      </c>
    </row>
    <row r="534" spans="1:22" hidden="1" x14ac:dyDescent="0.35">
      <c r="A534" t="s">
        <v>27</v>
      </c>
      <c r="B534">
        <v>2</v>
      </c>
      <c r="C534">
        <v>3</v>
      </c>
      <c r="D534">
        <v>2</v>
      </c>
      <c r="E534" t="s">
        <v>25</v>
      </c>
      <c r="F534">
        <v>50</v>
      </c>
      <c r="G534">
        <v>1</v>
      </c>
      <c r="H534">
        <v>20</v>
      </c>
      <c r="I534" t="s">
        <v>26</v>
      </c>
      <c r="J534" s="3">
        <v>150.41931700000001</v>
      </c>
      <c r="K534" s="3">
        <v>25782.912</v>
      </c>
      <c r="L534" s="3">
        <v>25782.912</v>
      </c>
      <c r="M534" s="3">
        <v>25782.912</v>
      </c>
      <c r="N534" s="3">
        <v>19642.361000000001</v>
      </c>
      <c r="O534" s="4">
        <v>31.261800000000001</v>
      </c>
      <c r="P534" s="4">
        <v>31.261800000000001</v>
      </c>
      <c r="Q534" s="4">
        <v>31.261800000000001</v>
      </c>
      <c r="R534" s="5">
        <v>1E-4</v>
      </c>
      <c r="S534">
        <v>1</v>
      </c>
      <c r="T534" t="b">
        <v>0</v>
      </c>
      <c r="U534">
        <v>1</v>
      </c>
      <c r="V534" s="4">
        <v>2.85</v>
      </c>
    </row>
    <row r="535" spans="1:22" hidden="1" x14ac:dyDescent="0.35">
      <c r="A535" t="s">
        <v>27</v>
      </c>
      <c r="B535">
        <v>2</v>
      </c>
      <c r="C535">
        <v>3</v>
      </c>
      <c r="D535">
        <v>2</v>
      </c>
      <c r="E535" t="s">
        <v>25</v>
      </c>
      <c r="F535">
        <v>50</v>
      </c>
      <c r="G535">
        <v>3</v>
      </c>
      <c r="H535">
        <v>20</v>
      </c>
      <c r="I535" t="s">
        <v>26</v>
      </c>
      <c r="J535" s="3">
        <v>150.41931700000001</v>
      </c>
      <c r="K535" s="3">
        <v>25782.912</v>
      </c>
      <c r="L535" s="3">
        <v>25782.912</v>
      </c>
      <c r="M535" s="3">
        <v>25782.912</v>
      </c>
      <c r="N535" s="3">
        <v>19642.361000000001</v>
      </c>
      <c r="O535" s="4">
        <v>31.261800000000001</v>
      </c>
      <c r="P535" s="4">
        <v>31.261800000000001</v>
      </c>
      <c r="Q535" s="4">
        <v>31.261800000000001</v>
      </c>
      <c r="R535" s="5">
        <v>1E-4</v>
      </c>
      <c r="S535">
        <v>1</v>
      </c>
      <c r="T535" t="b">
        <v>0</v>
      </c>
      <c r="U535">
        <v>1</v>
      </c>
      <c r="V535" s="4">
        <v>7.54</v>
      </c>
    </row>
    <row r="536" spans="1:22" hidden="1" x14ac:dyDescent="0.35">
      <c r="A536" t="s">
        <v>27</v>
      </c>
      <c r="B536">
        <v>2</v>
      </c>
      <c r="C536">
        <v>3</v>
      </c>
      <c r="D536">
        <v>2</v>
      </c>
      <c r="E536" t="s">
        <v>25</v>
      </c>
      <c r="F536">
        <v>200</v>
      </c>
      <c r="G536">
        <v>1</v>
      </c>
      <c r="H536">
        <v>20</v>
      </c>
      <c r="I536" t="s">
        <v>26</v>
      </c>
      <c r="J536" s="3">
        <v>150.41931700000001</v>
      </c>
      <c r="K536" s="3">
        <v>25782.912</v>
      </c>
      <c r="L536" s="3">
        <v>25782.912</v>
      </c>
      <c r="M536" s="3">
        <v>25782.912</v>
      </c>
      <c r="N536" s="3">
        <v>19642.361000000001</v>
      </c>
      <c r="O536" s="4">
        <v>31.261800000000001</v>
      </c>
      <c r="P536" s="4">
        <v>31.261800000000001</v>
      </c>
      <c r="Q536" s="4">
        <v>31.261800000000001</v>
      </c>
      <c r="R536" s="5">
        <v>1E-4</v>
      </c>
      <c r="S536">
        <v>1</v>
      </c>
      <c r="T536" t="b">
        <v>0</v>
      </c>
      <c r="U536">
        <v>1</v>
      </c>
      <c r="V536" s="4">
        <v>2.92</v>
      </c>
    </row>
    <row r="537" spans="1:22" hidden="1" x14ac:dyDescent="0.35">
      <c r="A537" t="s">
        <v>27</v>
      </c>
      <c r="B537">
        <v>2</v>
      </c>
      <c r="C537">
        <v>3</v>
      </c>
      <c r="D537">
        <v>2</v>
      </c>
      <c r="E537" t="s">
        <v>25</v>
      </c>
      <c r="F537">
        <v>200</v>
      </c>
      <c r="G537">
        <v>3</v>
      </c>
      <c r="H537">
        <v>20</v>
      </c>
      <c r="I537" t="s">
        <v>26</v>
      </c>
      <c r="J537" s="3">
        <v>150.41931700000001</v>
      </c>
      <c r="K537" s="3">
        <v>25782.912</v>
      </c>
      <c r="L537" s="3">
        <v>25782.912</v>
      </c>
      <c r="M537" s="3">
        <v>25782.912</v>
      </c>
      <c r="N537" s="3">
        <v>19642.361000000001</v>
      </c>
      <c r="O537" s="4">
        <v>31.261800000000001</v>
      </c>
      <c r="P537" s="4">
        <v>31.261800000000001</v>
      </c>
      <c r="Q537" s="4">
        <v>31.261800000000001</v>
      </c>
      <c r="R537" s="5">
        <v>1E-4</v>
      </c>
      <c r="S537">
        <v>1</v>
      </c>
      <c r="T537" t="b">
        <v>0</v>
      </c>
      <c r="U537">
        <v>1</v>
      </c>
      <c r="V537" s="4">
        <v>7.65</v>
      </c>
    </row>
    <row r="538" spans="1:22" hidden="1" x14ac:dyDescent="0.35">
      <c r="A538" t="s">
        <v>27</v>
      </c>
      <c r="B538">
        <v>2</v>
      </c>
      <c r="C538">
        <v>3</v>
      </c>
      <c r="D538">
        <v>5</v>
      </c>
      <c r="E538" t="s">
        <v>22</v>
      </c>
      <c r="F538">
        <v>50</v>
      </c>
      <c r="G538">
        <v>1</v>
      </c>
      <c r="H538">
        <v>20</v>
      </c>
      <c r="I538" t="s">
        <v>26</v>
      </c>
      <c r="J538" s="3">
        <v>362.60435799999999</v>
      </c>
      <c r="K538" s="3">
        <v>23585.491000000002</v>
      </c>
      <c r="L538" s="3">
        <v>23585.491000000002</v>
      </c>
      <c r="M538" s="3">
        <v>23585.491000000002</v>
      </c>
      <c r="N538" s="3">
        <v>19642.361000000001</v>
      </c>
      <c r="O538" s="4">
        <v>20.0746</v>
      </c>
      <c r="P538" s="4">
        <v>20.0746</v>
      </c>
      <c r="Q538" s="4">
        <v>20.0746</v>
      </c>
      <c r="R538" s="5">
        <v>1E-4</v>
      </c>
      <c r="S538">
        <v>1</v>
      </c>
      <c r="T538" t="b">
        <v>0</v>
      </c>
      <c r="U538">
        <v>1</v>
      </c>
      <c r="V538" s="4">
        <v>15.46</v>
      </c>
    </row>
    <row r="539" spans="1:22" hidden="1" x14ac:dyDescent="0.35">
      <c r="A539" t="s">
        <v>27</v>
      </c>
      <c r="B539">
        <v>2</v>
      </c>
      <c r="C539">
        <v>3</v>
      </c>
      <c r="D539">
        <v>5</v>
      </c>
      <c r="E539" t="s">
        <v>22</v>
      </c>
      <c r="F539">
        <v>50</v>
      </c>
      <c r="G539">
        <v>3</v>
      </c>
      <c r="H539">
        <v>20</v>
      </c>
      <c r="I539" t="s">
        <v>26</v>
      </c>
      <c r="J539" s="3">
        <v>349.71032400000001</v>
      </c>
      <c r="K539" s="3">
        <v>23297.882000000001</v>
      </c>
      <c r="L539" s="3">
        <v>23297.882000000001</v>
      </c>
      <c r="M539" s="3">
        <v>23297.882000000001</v>
      </c>
      <c r="N539" s="3">
        <v>19642.361000000001</v>
      </c>
      <c r="O539" s="4">
        <v>18.610399999999998</v>
      </c>
      <c r="P539" s="4">
        <v>18.610399999999998</v>
      </c>
      <c r="Q539" s="4">
        <v>18.610399999999998</v>
      </c>
      <c r="R539" s="5">
        <v>2.0000000000000001E-4</v>
      </c>
      <c r="S539">
        <v>2</v>
      </c>
      <c r="T539" t="b">
        <v>0</v>
      </c>
      <c r="U539">
        <v>1</v>
      </c>
      <c r="V539" s="4">
        <v>45.54</v>
      </c>
    </row>
    <row r="540" spans="1:22" hidden="1" x14ac:dyDescent="0.35">
      <c r="A540" t="s">
        <v>27</v>
      </c>
      <c r="B540">
        <v>2</v>
      </c>
      <c r="C540">
        <v>3</v>
      </c>
      <c r="D540">
        <v>5</v>
      </c>
      <c r="E540" t="s">
        <v>22</v>
      </c>
      <c r="F540">
        <v>200</v>
      </c>
      <c r="G540">
        <v>1</v>
      </c>
      <c r="H540">
        <v>20</v>
      </c>
      <c r="I540" t="s">
        <v>26</v>
      </c>
      <c r="J540" s="3">
        <v>362.60435799999999</v>
      </c>
      <c r="K540" s="3">
        <v>23585.491000000002</v>
      </c>
      <c r="L540" s="3">
        <v>23585.491000000002</v>
      </c>
      <c r="M540" s="3">
        <v>23585.491000000002</v>
      </c>
      <c r="N540" s="3">
        <v>19642.361000000001</v>
      </c>
      <c r="O540" s="4">
        <v>20.0746</v>
      </c>
      <c r="P540" s="4">
        <v>20.0746</v>
      </c>
      <c r="Q540" s="4">
        <v>20.0746</v>
      </c>
      <c r="R540" s="5">
        <v>1E-4</v>
      </c>
      <c r="S540">
        <v>1</v>
      </c>
      <c r="T540" t="b">
        <v>0</v>
      </c>
      <c r="U540">
        <v>1</v>
      </c>
      <c r="V540" s="4">
        <v>16.649999999999999</v>
      </c>
    </row>
    <row r="541" spans="1:22" hidden="1" x14ac:dyDescent="0.35">
      <c r="A541" t="s">
        <v>27</v>
      </c>
      <c r="B541">
        <v>2</v>
      </c>
      <c r="C541">
        <v>3</v>
      </c>
      <c r="D541">
        <v>5</v>
      </c>
      <c r="E541" t="s">
        <v>22</v>
      </c>
      <c r="F541">
        <v>200</v>
      </c>
      <c r="G541">
        <v>3</v>
      </c>
      <c r="H541">
        <v>20</v>
      </c>
      <c r="I541" t="s">
        <v>26</v>
      </c>
      <c r="J541" s="3">
        <v>349.71032400000001</v>
      </c>
      <c r="K541" s="3">
        <v>23297.882000000001</v>
      </c>
      <c r="L541" s="3">
        <v>23297.882000000001</v>
      </c>
      <c r="M541" s="3">
        <v>23297.882000000001</v>
      </c>
      <c r="N541" s="3">
        <v>19642.361000000001</v>
      </c>
      <c r="O541" s="4">
        <v>18.610399999999998</v>
      </c>
      <c r="P541" s="4">
        <v>18.610399999999998</v>
      </c>
      <c r="Q541" s="4">
        <v>18.610399999999998</v>
      </c>
      <c r="R541" s="5">
        <v>2.0000000000000001E-4</v>
      </c>
      <c r="S541">
        <v>2</v>
      </c>
      <c r="T541" t="b">
        <v>0</v>
      </c>
      <c r="U541">
        <v>1</v>
      </c>
      <c r="V541" s="4">
        <v>46.27</v>
      </c>
    </row>
    <row r="542" spans="1:22" hidden="1" x14ac:dyDescent="0.35">
      <c r="A542" t="s">
        <v>27</v>
      </c>
      <c r="B542">
        <v>2</v>
      </c>
      <c r="C542">
        <v>3</v>
      </c>
      <c r="D542">
        <v>5</v>
      </c>
      <c r="E542" t="s">
        <v>25</v>
      </c>
      <c r="F542">
        <v>50</v>
      </c>
      <c r="G542">
        <v>1</v>
      </c>
      <c r="H542">
        <v>20</v>
      </c>
      <c r="I542" t="s">
        <v>26</v>
      </c>
      <c r="J542" s="3">
        <v>373.93345299999999</v>
      </c>
      <c r="K542" s="3" t="s">
        <v>24</v>
      </c>
      <c r="L542" s="3" t="s">
        <v>24</v>
      </c>
      <c r="M542" s="3" t="s">
        <v>24</v>
      </c>
      <c r="N542" s="3">
        <v>19642.361000000001</v>
      </c>
      <c r="O542" s="4"/>
      <c r="P542" s="4"/>
      <c r="Q542" s="4"/>
      <c r="R542" s="5">
        <v>0</v>
      </c>
      <c r="S542">
        <v>0</v>
      </c>
      <c r="T542" t="b">
        <v>1</v>
      </c>
      <c r="U542">
        <v>-1</v>
      </c>
      <c r="V542" s="4">
        <v>2.9</v>
      </c>
    </row>
    <row r="543" spans="1:22" hidden="1" x14ac:dyDescent="0.35">
      <c r="A543" t="s">
        <v>27</v>
      </c>
      <c r="B543">
        <v>2</v>
      </c>
      <c r="C543">
        <v>3</v>
      </c>
      <c r="D543">
        <v>5</v>
      </c>
      <c r="E543" t="s">
        <v>25</v>
      </c>
      <c r="F543">
        <v>50</v>
      </c>
      <c r="G543">
        <v>3</v>
      </c>
      <c r="H543">
        <v>20</v>
      </c>
      <c r="I543" t="s">
        <v>26</v>
      </c>
      <c r="J543" s="3">
        <v>371.55427300000002</v>
      </c>
      <c r="K543" s="3" t="s">
        <v>24</v>
      </c>
      <c r="L543" s="3" t="s">
        <v>24</v>
      </c>
      <c r="M543" s="3" t="s">
        <v>24</v>
      </c>
      <c r="N543" s="3">
        <v>19642.361000000001</v>
      </c>
      <c r="O543" s="4"/>
      <c r="P543" s="4"/>
      <c r="Q543" s="4"/>
      <c r="R543" s="5">
        <v>0</v>
      </c>
      <c r="S543">
        <v>0</v>
      </c>
      <c r="T543" t="b">
        <v>1</v>
      </c>
      <c r="U543">
        <v>-1</v>
      </c>
      <c r="V543" s="4">
        <v>7.74</v>
      </c>
    </row>
    <row r="544" spans="1:22" hidden="1" x14ac:dyDescent="0.35">
      <c r="A544" t="s">
        <v>27</v>
      </c>
      <c r="B544">
        <v>2</v>
      </c>
      <c r="C544">
        <v>3</v>
      </c>
      <c r="D544">
        <v>5</v>
      </c>
      <c r="E544" t="s">
        <v>25</v>
      </c>
      <c r="F544">
        <v>200</v>
      </c>
      <c r="G544">
        <v>1</v>
      </c>
      <c r="H544">
        <v>20</v>
      </c>
      <c r="I544" t="s">
        <v>26</v>
      </c>
      <c r="J544" s="3">
        <v>373.93345299999999</v>
      </c>
      <c r="K544" s="3" t="s">
        <v>24</v>
      </c>
      <c r="L544" s="3" t="s">
        <v>24</v>
      </c>
      <c r="M544" s="3" t="s">
        <v>24</v>
      </c>
      <c r="N544" s="3">
        <v>19642.361000000001</v>
      </c>
      <c r="O544" s="4"/>
      <c r="P544" s="4"/>
      <c r="Q544" s="4"/>
      <c r="R544" s="5">
        <v>0</v>
      </c>
      <c r="S544">
        <v>0</v>
      </c>
      <c r="T544" t="b">
        <v>1</v>
      </c>
      <c r="U544">
        <v>-1</v>
      </c>
      <c r="V544" s="4">
        <v>2.94</v>
      </c>
    </row>
    <row r="545" spans="1:22" hidden="1" x14ac:dyDescent="0.35">
      <c r="A545" t="s">
        <v>27</v>
      </c>
      <c r="B545">
        <v>2</v>
      </c>
      <c r="C545">
        <v>3</v>
      </c>
      <c r="D545">
        <v>5</v>
      </c>
      <c r="E545" t="s">
        <v>25</v>
      </c>
      <c r="F545">
        <v>200</v>
      </c>
      <c r="G545">
        <v>3</v>
      </c>
      <c r="H545">
        <v>20</v>
      </c>
      <c r="I545" t="s">
        <v>26</v>
      </c>
      <c r="J545" s="3">
        <v>371.55427300000002</v>
      </c>
      <c r="K545" s="3" t="s">
        <v>24</v>
      </c>
      <c r="L545" s="3" t="s">
        <v>24</v>
      </c>
      <c r="M545" s="3" t="s">
        <v>24</v>
      </c>
      <c r="N545" s="3">
        <v>19642.361000000001</v>
      </c>
      <c r="O545" s="4"/>
      <c r="P545" s="4"/>
      <c r="Q545" s="4"/>
      <c r="R545" s="5">
        <v>0</v>
      </c>
      <c r="S545">
        <v>0</v>
      </c>
      <c r="T545" t="b">
        <v>1</v>
      </c>
      <c r="U545">
        <v>-1</v>
      </c>
      <c r="V545" s="4">
        <v>7.66</v>
      </c>
    </row>
    <row r="546" spans="1:22" hidden="1" x14ac:dyDescent="0.35">
      <c r="A546" t="s">
        <v>27</v>
      </c>
      <c r="B546">
        <v>2</v>
      </c>
      <c r="C546">
        <v>3</v>
      </c>
      <c r="D546">
        <v>10</v>
      </c>
      <c r="E546" t="s">
        <v>22</v>
      </c>
      <c r="F546">
        <v>50</v>
      </c>
      <c r="G546">
        <v>1</v>
      </c>
      <c r="H546">
        <v>20</v>
      </c>
      <c r="I546" t="s">
        <v>26</v>
      </c>
      <c r="J546" s="3">
        <v>711.89710100000002</v>
      </c>
      <c r="K546" s="3" t="s">
        <v>24</v>
      </c>
      <c r="L546" s="3" t="s">
        <v>24</v>
      </c>
      <c r="M546" s="3" t="s">
        <v>24</v>
      </c>
      <c r="N546" s="3">
        <v>19642.361000000001</v>
      </c>
      <c r="O546" s="4"/>
      <c r="P546" s="4"/>
      <c r="Q546" s="4"/>
      <c r="R546" s="5">
        <v>0</v>
      </c>
      <c r="S546">
        <v>0</v>
      </c>
      <c r="T546" t="b">
        <v>1</v>
      </c>
      <c r="U546">
        <v>-1</v>
      </c>
      <c r="V546" s="4">
        <v>15.43</v>
      </c>
    </row>
    <row r="547" spans="1:22" hidden="1" x14ac:dyDescent="0.35">
      <c r="A547" t="s">
        <v>27</v>
      </c>
      <c r="B547">
        <v>2</v>
      </c>
      <c r="C547">
        <v>3</v>
      </c>
      <c r="D547">
        <v>10</v>
      </c>
      <c r="E547" t="s">
        <v>22</v>
      </c>
      <c r="F547">
        <v>50</v>
      </c>
      <c r="G547">
        <v>3</v>
      </c>
      <c r="H547">
        <v>20</v>
      </c>
      <c r="I547" t="s">
        <v>26</v>
      </c>
      <c r="J547" s="3">
        <v>651.85593500000004</v>
      </c>
      <c r="K547" s="3" t="s">
        <v>24</v>
      </c>
      <c r="L547" s="3" t="s">
        <v>24</v>
      </c>
      <c r="M547" s="3" t="s">
        <v>24</v>
      </c>
      <c r="N547" s="3">
        <v>19642.361000000001</v>
      </c>
      <c r="O547" s="4"/>
      <c r="P547" s="4"/>
      <c r="Q547" s="4"/>
      <c r="R547" s="5">
        <v>0</v>
      </c>
      <c r="S547">
        <v>0</v>
      </c>
      <c r="T547" t="b">
        <v>1</v>
      </c>
      <c r="U547">
        <v>-1</v>
      </c>
      <c r="V547" s="4">
        <v>45.59</v>
      </c>
    </row>
    <row r="548" spans="1:22" hidden="1" x14ac:dyDescent="0.35">
      <c r="A548" t="s">
        <v>27</v>
      </c>
      <c r="B548">
        <v>2</v>
      </c>
      <c r="C548">
        <v>3</v>
      </c>
      <c r="D548">
        <v>10</v>
      </c>
      <c r="E548" t="s">
        <v>22</v>
      </c>
      <c r="F548">
        <v>200</v>
      </c>
      <c r="G548">
        <v>1</v>
      </c>
      <c r="H548">
        <v>20</v>
      </c>
      <c r="I548" t="s">
        <v>26</v>
      </c>
      <c r="J548" s="3">
        <v>704.82506999999998</v>
      </c>
      <c r="K548" s="3" t="s">
        <v>24</v>
      </c>
      <c r="L548" s="3" t="s">
        <v>24</v>
      </c>
      <c r="M548" s="3" t="s">
        <v>24</v>
      </c>
      <c r="N548" s="3">
        <v>19642.361000000001</v>
      </c>
      <c r="O548" s="4"/>
      <c r="P548" s="4"/>
      <c r="Q548" s="4"/>
      <c r="R548" s="5">
        <v>0</v>
      </c>
      <c r="S548">
        <v>0</v>
      </c>
      <c r="T548" t="b">
        <v>1</v>
      </c>
      <c r="U548">
        <v>-1</v>
      </c>
      <c r="V548" s="4">
        <v>18.84</v>
      </c>
    </row>
    <row r="549" spans="1:22" hidden="1" x14ac:dyDescent="0.35">
      <c r="A549" t="s">
        <v>27</v>
      </c>
      <c r="B549">
        <v>2</v>
      </c>
      <c r="C549">
        <v>3</v>
      </c>
      <c r="D549">
        <v>10</v>
      </c>
      <c r="E549" t="s">
        <v>22</v>
      </c>
      <c r="F549">
        <v>200</v>
      </c>
      <c r="G549">
        <v>3</v>
      </c>
      <c r="H549">
        <v>20</v>
      </c>
      <c r="I549" t="s">
        <v>26</v>
      </c>
      <c r="J549" s="3">
        <v>651.85593500000004</v>
      </c>
      <c r="K549" s="3" t="s">
        <v>24</v>
      </c>
      <c r="L549" s="3" t="s">
        <v>24</v>
      </c>
      <c r="M549" s="3" t="s">
        <v>24</v>
      </c>
      <c r="N549" s="3">
        <v>19642.361000000001</v>
      </c>
      <c r="O549" s="4"/>
      <c r="P549" s="4"/>
      <c r="Q549" s="4"/>
      <c r="R549" s="5">
        <v>0</v>
      </c>
      <c r="S549">
        <v>0</v>
      </c>
      <c r="T549" t="b">
        <v>1</v>
      </c>
      <c r="U549">
        <v>-1</v>
      </c>
      <c r="V549" s="4">
        <v>49.81</v>
      </c>
    </row>
    <row r="550" spans="1:22" hidden="1" x14ac:dyDescent="0.35">
      <c r="A550" t="s">
        <v>27</v>
      </c>
      <c r="B550">
        <v>2</v>
      </c>
      <c r="C550">
        <v>3</v>
      </c>
      <c r="D550">
        <v>10</v>
      </c>
      <c r="E550" t="s">
        <v>25</v>
      </c>
      <c r="F550">
        <v>50</v>
      </c>
      <c r="G550">
        <v>1</v>
      </c>
      <c r="H550">
        <v>20</v>
      </c>
      <c r="I550" t="s">
        <v>26</v>
      </c>
      <c r="J550" s="3">
        <v>733.11992699999996</v>
      </c>
      <c r="K550" s="3" t="s">
        <v>24</v>
      </c>
      <c r="L550" s="3" t="s">
        <v>24</v>
      </c>
      <c r="M550" s="3" t="s">
        <v>24</v>
      </c>
      <c r="N550" s="3">
        <v>19642.361000000001</v>
      </c>
      <c r="O550" s="4"/>
      <c r="P550" s="4"/>
      <c r="Q550" s="4"/>
      <c r="R550" s="5">
        <v>0</v>
      </c>
      <c r="S550">
        <v>0</v>
      </c>
      <c r="T550" t="b">
        <v>1</v>
      </c>
      <c r="U550">
        <v>-1</v>
      </c>
      <c r="V550" s="4">
        <v>2.97</v>
      </c>
    </row>
    <row r="551" spans="1:22" hidden="1" x14ac:dyDescent="0.35">
      <c r="A551" t="s">
        <v>27</v>
      </c>
      <c r="B551">
        <v>2</v>
      </c>
      <c r="C551">
        <v>3</v>
      </c>
      <c r="D551">
        <v>10</v>
      </c>
      <c r="E551" t="s">
        <v>25</v>
      </c>
      <c r="F551">
        <v>50</v>
      </c>
      <c r="G551">
        <v>3</v>
      </c>
      <c r="H551">
        <v>20</v>
      </c>
      <c r="I551" t="s">
        <v>26</v>
      </c>
      <c r="J551" s="3">
        <v>733.11992699999996</v>
      </c>
      <c r="K551" s="3" t="s">
        <v>24</v>
      </c>
      <c r="L551" s="3" t="s">
        <v>24</v>
      </c>
      <c r="M551" s="3" t="s">
        <v>24</v>
      </c>
      <c r="N551" s="3">
        <v>19642.361000000001</v>
      </c>
      <c r="O551" s="4"/>
      <c r="P551" s="4"/>
      <c r="Q551" s="4"/>
      <c r="R551" s="5">
        <v>0</v>
      </c>
      <c r="S551">
        <v>0</v>
      </c>
      <c r="T551" t="b">
        <v>1</v>
      </c>
      <c r="U551">
        <v>-1</v>
      </c>
      <c r="V551" s="4">
        <v>7.63</v>
      </c>
    </row>
    <row r="552" spans="1:22" hidden="1" x14ac:dyDescent="0.35">
      <c r="A552" t="s">
        <v>27</v>
      </c>
      <c r="B552">
        <v>2</v>
      </c>
      <c r="C552">
        <v>3</v>
      </c>
      <c r="D552">
        <v>10</v>
      </c>
      <c r="E552" t="s">
        <v>25</v>
      </c>
      <c r="F552">
        <v>200</v>
      </c>
      <c r="G552">
        <v>1</v>
      </c>
      <c r="H552">
        <v>20</v>
      </c>
      <c r="I552" t="s">
        <v>26</v>
      </c>
      <c r="J552" s="3">
        <v>733.11992699999996</v>
      </c>
      <c r="K552" s="3" t="s">
        <v>24</v>
      </c>
      <c r="L552" s="3" t="s">
        <v>24</v>
      </c>
      <c r="M552" s="3" t="s">
        <v>24</v>
      </c>
      <c r="N552" s="3">
        <v>19642.361000000001</v>
      </c>
      <c r="O552" s="4"/>
      <c r="P552" s="4"/>
      <c r="Q552" s="4"/>
      <c r="R552" s="5">
        <v>0</v>
      </c>
      <c r="S552">
        <v>0</v>
      </c>
      <c r="T552" t="b">
        <v>1</v>
      </c>
      <c r="U552">
        <v>-1</v>
      </c>
      <c r="V552" s="4">
        <v>2.94</v>
      </c>
    </row>
    <row r="553" spans="1:22" hidden="1" x14ac:dyDescent="0.35">
      <c r="A553" t="s">
        <v>27</v>
      </c>
      <c r="B553">
        <v>2</v>
      </c>
      <c r="C553">
        <v>3</v>
      </c>
      <c r="D553">
        <v>10</v>
      </c>
      <c r="E553" t="s">
        <v>25</v>
      </c>
      <c r="F553">
        <v>200</v>
      </c>
      <c r="G553">
        <v>3</v>
      </c>
      <c r="H553">
        <v>20</v>
      </c>
      <c r="I553" t="s">
        <v>26</v>
      </c>
      <c r="J553" s="3">
        <v>733.11992699999996</v>
      </c>
      <c r="K553" s="3" t="s">
        <v>24</v>
      </c>
      <c r="L553" s="3" t="s">
        <v>24</v>
      </c>
      <c r="M553" s="3" t="s">
        <v>24</v>
      </c>
      <c r="N553" s="3">
        <v>19642.361000000001</v>
      </c>
      <c r="O553" s="4"/>
      <c r="P553" s="4"/>
      <c r="Q553" s="4"/>
      <c r="R553" s="5">
        <v>0</v>
      </c>
      <c r="S553">
        <v>0</v>
      </c>
      <c r="T553" t="b">
        <v>1</v>
      </c>
      <c r="U553">
        <v>-1</v>
      </c>
      <c r="V553" s="4">
        <v>7.65</v>
      </c>
    </row>
    <row r="554" spans="1:22" hidden="1" x14ac:dyDescent="0.35">
      <c r="A554" t="s">
        <v>27</v>
      </c>
      <c r="B554">
        <v>2</v>
      </c>
      <c r="C554">
        <v>5</v>
      </c>
      <c r="D554">
        <v>2</v>
      </c>
      <c r="E554" t="s">
        <v>22</v>
      </c>
      <c r="F554">
        <v>50</v>
      </c>
      <c r="G554">
        <v>1</v>
      </c>
      <c r="H554">
        <v>20</v>
      </c>
      <c r="I554" t="s">
        <v>26</v>
      </c>
      <c r="J554" s="3">
        <v>147.74634800000001</v>
      </c>
      <c r="K554" s="3" t="s">
        <v>24</v>
      </c>
      <c r="L554" s="3" t="s">
        <v>24</v>
      </c>
      <c r="M554" s="3" t="s">
        <v>24</v>
      </c>
      <c r="N554" s="3">
        <v>19642.361000000001</v>
      </c>
      <c r="O554" s="4"/>
      <c r="P554" s="4"/>
      <c r="Q554" s="4"/>
      <c r="R554" s="5">
        <v>0</v>
      </c>
      <c r="S554">
        <v>0</v>
      </c>
      <c r="T554" t="b">
        <v>1</v>
      </c>
      <c r="U554">
        <v>-1</v>
      </c>
      <c r="V554" s="4">
        <v>21.25</v>
      </c>
    </row>
    <row r="555" spans="1:22" hidden="1" x14ac:dyDescent="0.35">
      <c r="A555" t="s">
        <v>27</v>
      </c>
      <c r="B555">
        <v>2</v>
      </c>
      <c r="C555">
        <v>5</v>
      </c>
      <c r="D555">
        <v>2</v>
      </c>
      <c r="E555" t="s">
        <v>22</v>
      </c>
      <c r="F555">
        <v>50</v>
      </c>
      <c r="G555">
        <v>3</v>
      </c>
      <c r="H555">
        <v>20</v>
      </c>
      <c r="I555" t="s">
        <v>26</v>
      </c>
      <c r="J555" s="3">
        <v>97.712480999999997</v>
      </c>
      <c r="K555" s="3">
        <v>19703.163</v>
      </c>
      <c r="L555" s="3">
        <v>19703.163</v>
      </c>
      <c r="M555" s="3">
        <v>19703.163</v>
      </c>
      <c r="N555" s="3">
        <v>19642.361000000001</v>
      </c>
      <c r="O555" s="4">
        <v>0.3095</v>
      </c>
      <c r="P555" s="4">
        <v>0.3095</v>
      </c>
      <c r="Q555" s="4">
        <v>0.3095</v>
      </c>
      <c r="R555" s="5">
        <v>4.0000000000000002E-4</v>
      </c>
      <c r="S555">
        <v>4</v>
      </c>
      <c r="T555" t="b">
        <v>0</v>
      </c>
      <c r="U555">
        <v>1</v>
      </c>
      <c r="V555" s="4">
        <v>62.1</v>
      </c>
    </row>
    <row r="556" spans="1:22" hidden="1" x14ac:dyDescent="0.35">
      <c r="A556" t="s">
        <v>27</v>
      </c>
      <c r="B556">
        <v>2</v>
      </c>
      <c r="C556">
        <v>5</v>
      </c>
      <c r="D556">
        <v>2</v>
      </c>
      <c r="E556" t="s">
        <v>22</v>
      </c>
      <c r="F556">
        <v>200</v>
      </c>
      <c r="G556">
        <v>1</v>
      </c>
      <c r="H556">
        <v>20</v>
      </c>
      <c r="I556" t="s">
        <v>26</v>
      </c>
      <c r="J556" s="3">
        <v>146.70048800000001</v>
      </c>
      <c r="K556" s="3" t="s">
        <v>24</v>
      </c>
      <c r="L556" s="3" t="s">
        <v>24</v>
      </c>
      <c r="M556" s="3" t="s">
        <v>24</v>
      </c>
      <c r="N556" s="3">
        <v>19642.361000000001</v>
      </c>
      <c r="O556" s="4"/>
      <c r="P556" s="4"/>
      <c r="Q556" s="4"/>
      <c r="R556" s="5">
        <v>0</v>
      </c>
      <c r="S556">
        <v>0</v>
      </c>
      <c r="T556" t="b">
        <v>1</v>
      </c>
      <c r="U556">
        <v>-1</v>
      </c>
      <c r="V556" s="4">
        <v>32.14</v>
      </c>
    </row>
    <row r="557" spans="1:22" hidden="1" x14ac:dyDescent="0.35">
      <c r="A557" t="s">
        <v>27</v>
      </c>
      <c r="B557">
        <v>2</v>
      </c>
      <c r="C557">
        <v>5</v>
      </c>
      <c r="D557">
        <v>2</v>
      </c>
      <c r="E557" t="s">
        <v>22</v>
      </c>
      <c r="F557">
        <v>200</v>
      </c>
      <c r="G557">
        <v>3</v>
      </c>
      <c r="H557">
        <v>20</v>
      </c>
      <c r="I557" t="s">
        <v>26</v>
      </c>
      <c r="J557" s="3">
        <v>95.684118999999995</v>
      </c>
      <c r="K557" s="3">
        <v>23702.118999999999</v>
      </c>
      <c r="L557" s="3">
        <v>23762.920999999998</v>
      </c>
      <c r="M557" s="3">
        <v>23702.118999999999</v>
      </c>
      <c r="N557" s="3">
        <v>19642.361000000001</v>
      </c>
      <c r="O557" s="4">
        <v>20.668399999999998</v>
      </c>
      <c r="P557" s="4">
        <v>20.977900000000002</v>
      </c>
      <c r="Q557" s="4">
        <v>20.668399999999998</v>
      </c>
      <c r="R557" s="5">
        <v>2.9999999999999997E-4</v>
      </c>
      <c r="S557">
        <v>2</v>
      </c>
      <c r="T557" t="b">
        <v>0</v>
      </c>
      <c r="U557">
        <v>2</v>
      </c>
      <c r="V557" s="4">
        <v>106.46</v>
      </c>
    </row>
    <row r="558" spans="1:22" hidden="1" x14ac:dyDescent="0.35">
      <c r="A558" t="s">
        <v>27</v>
      </c>
      <c r="B558">
        <v>2</v>
      </c>
      <c r="C558">
        <v>5</v>
      </c>
      <c r="D558">
        <v>2</v>
      </c>
      <c r="E558" t="s">
        <v>25</v>
      </c>
      <c r="F558">
        <v>50</v>
      </c>
      <c r="G558">
        <v>1</v>
      </c>
      <c r="H558">
        <v>20</v>
      </c>
      <c r="I558" t="s">
        <v>26</v>
      </c>
      <c r="J558" s="3">
        <v>153.810328</v>
      </c>
      <c r="K558" s="3" t="s">
        <v>24</v>
      </c>
      <c r="L558" s="3" t="s">
        <v>24</v>
      </c>
      <c r="M558" s="3" t="s">
        <v>24</v>
      </c>
      <c r="N558" s="3">
        <v>19642.361000000001</v>
      </c>
      <c r="O558" s="4"/>
      <c r="P558" s="4"/>
      <c r="Q558" s="4"/>
      <c r="R558" s="5">
        <v>0</v>
      </c>
      <c r="S558">
        <v>0</v>
      </c>
      <c r="T558" t="b">
        <v>1</v>
      </c>
      <c r="U558">
        <v>-1</v>
      </c>
      <c r="V558" s="4">
        <v>5.54</v>
      </c>
    </row>
    <row r="559" spans="1:22" hidden="1" x14ac:dyDescent="0.35">
      <c r="A559" t="s">
        <v>27</v>
      </c>
      <c r="B559">
        <v>2</v>
      </c>
      <c r="C559">
        <v>5</v>
      </c>
      <c r="D559">
        <v>2</v>
      </c>
      <c r="E559" t="s">
        <v>25</v>
      </c>
      <c r="F559">
        <v>50</v>
      </c>
      <c r="G559">
        <v>3</v>
      </c>
      <c r="H559">
        <v>20</v>
      </c>
      <c r="I559" t="s">
        <v>26</v>
      </c>
      <c r="J559" s="3">
        <v>153.810328</v>
      </c>
      <c r="K559" s="3" t="s">
        <v>24</v>
      </c>
      <c r="L559" s="3" t="s">
        <v>24</v>
      </c>
      <c r="M559" s="3" t="s">
        <v>24</v>
      </c>
      <c r="N559" s="3">
        <v>19642.361000000001</v>
      </c>
      <c r="O559" s="4"/>
      <c r="P559" s="4"/>
      <c r="Q559" s="4"/>
      <c r="R559" s="5">
        <v>0</v>
      </c>
      <c r="S559">
        <v>0</v>
      </c>
      <c r="T559" t="b">
        <v>1</v>
      </c>
      <c r="U559">
        <v>-1</v>
      </c>
      <c r="V559" s="4">
        <v>15.36</v>
      </c>
    </row>
    <row r="560" spans="1:22" hidden="1" x14ac:dyDescent="0.35">
      <c r="A560" t="s">
        <v>27</v>
      </c>
      <c r="B560">
        <v>2</v>
      </c>
      <c r="C560">
        <v>5</v>
      </c>
      <c r="D560">
        <v>2</v>
      </c>
      <c r="E560" t="s">
        <v>25</v>
      </c>
      <c r="F560">
        <v>200</v>
      </c>
      <c r="G560">
        <v>1</v>
      </c>
      <c r="H560">
        <v>20</v>
      </c>
      <c r="I560" t="s">
        <v>26</v>
      </c>
      <c r="J560" s="3">
        <v>153.810328</v>
      </c>
      <c r="K560" s="3" t="s">
        <v>24</v>
      </c>
      <c r="L560" s="3" t="s">
        <v>24</v>
      </c>
      <c r="M560" s="3" t="s">
        <v>24</v>
      </c>
      <c r="N560" s="3">
        <v>19642.361000000001</v>
      </c>
      <c r="O560" s="4"/>
      <c r="P560" s="4"/>
      <c r="Q560" s="4"/>
      <c r="R560" s="5">
        <v>0</v>
      </c>
      <c r="S560">
        <v>0</v>
      </c>
      <c r="T560" t="b">
        <v>1</v>
      </c>
      <c r="U560">
        <v>-1</v>
      </c>
      <c r="V560" s="4">
        <v>5.55</v>
      </c>
    </row>
    <row r="561" spans="1:22" hidden="1" x14ac:dyDescent="0.35">
      <c r="A561" t="s">
        <v>27</v>
      </c>
      <c r="B561">
        <v>2</v>
      </c>
      <c r="C561">
        <v>5</v>
      </c>
      <c r="D561">
        <v>2</v>
      </c>
      <c r="E561" t="s">
        <v>25</v>
      </c>
      <c r="F561">
        <v>200</v>
      </c>
      <c r="G561">
        <v>3</v>
      </c>
      <c r="H561">
        <v>20</v>
      </c>
      <c r="I561" t="s">
        <v>26</v>
      </c>
      <c r="J561" s="3">
        <v>153.810328</v>
      </c>
      <c r="K561" s="3" t="s">
        <v>24</v>
      </c>
      <c r="L561" s="3" t="s">
        <v>24</v>
      </c>
      <c r="M561" s="3" t="s">
        <v>24</v>
      </c>
      <c r="N561" s="3">
        <v>19642.361000000001</v>
      </c>
      <c r="O561" s="4"/>
      <c r="P561" s="4"/>
      <c r="Q561" s="4"/>
      <c r="R561" s="5">
        <v>0</v>
      </c>
      <c r="S561">
        <v>0</v>
      </c>
      <c r="T561" t="b">
        <v>1</v>
      </c>
      <c r="U561">
        <v>-1</v>
      </c>
      <c r="V561" s="4">
        <v>15.31</v>
      </c>
    </row>
    <row r="562" spans="1:22" hidden="1" x14ac:dyDescent="0.35">
      <c r="A562" t="s">
        <v>27</v>
      </c>
      <c r="B562">
        <v>2</v>
      </c>
      <c r="C562">
        <v>5</v>
      </c>
      <c r="D562">
        <v>5</v>
      </c>
      <c r="E562" t="s">
        <v>22</v>
      </c>
      <c r="F562">
        <v>50</v>
      </c>
      <c r="G562">
        <v>1</v>
      </c>
      <c r="H562">
        <v>20</v>
      </c>
      <c r="I562" t="s">
        <v>26</v>
      </c>
      <c r="J562" s="3">
        <v>117.538616</v>
      </c>
      <c r="K562" s="3">
        <v>19642.361000000001</v>
      </c>
      <c r="L562" s="3">
        <v>25495.303</v>
      </c>
      <c r="M562" s="3">
        <v>19642.361000000001</v>
      </c>
      <c r="N562" s="3">
        <v>19642.361000000001</v>
      </c>
      <c r="O562" s="4">
        <v>0</v>
      </c>
      <c r="P562" s="4">
        <v>29.797499999999999</v>
      </c>
      <c r="Q562" s="4">
        <v>0</v>
      </c>
      <c r="R562" s="5">
        <v>1.46E-2</v>
      </c>
      <c r="S562">
        <v>36</v>
      </c>
      <c r="T562" t="b">
        <v>0</v>
      </c>
      <c r="U562">
        <v>4</v>
      </c>
      <c r="V562" s="4">
        <v>20.82</v>
      </c>
    </row>
    <row r="563" spans="1:22" hidden="1" x14ac:dyDescent="0.35">
      <c r="A563" t="s">
        <v>27</v>
      </c>
      <c r="B563">
        <v>2</v>
      </c>
      <c r="C563">
        <v>5</v>
      </c>
      <c r="D563">
        <v>5</v>
      </c>
      <c r="E563" t="s">
        <v>22</v>
      </c>
      <c r="F563">
        <v>50</v>
      </c>
      <c r="G563">
        <v>3</v>
      </c>
      <c r="H563">
        <v>20</v>
      </c>
      <c r="I563" t="s">
        <v>26</v>
      </c>
      <c r="J563" s="3">
        <v>117.538616</v>
      </c>
      <c r="K563" s="3">
        <v>19642.361000000001</v>
      </c>
      <c r="L563" s="3">
        <v>25495.303</v>
      </c>
      <c r="M563" s="3">
        <v>19642.361000000001</v>
      </c>
      <c r="N563" s="3">
        <v>19642.361000000001</v>
      </c>
      <c r="O563" s="4">
        <v>0</v>
      </c>
      <c r="P563" s="4">
        <v>29.797499999999999</v>
      </c>
      <c r="Q563" s="4">
        <v>0</v>
      </c>
      <c r="R563" s="5">
        <v>1.46E-2</v>
      </c>
      <c r="S563">
        <v>36</v>
      </c>
      <c r="T563" t="b">
        <v>0</v>
      </c>
      <c r="U563">
        <v>4</v>
      </c>
      <c r="V563" s="4">
        <v>61.73</v>
      </c>
    </row>
    <row r="564" spans="1:22" hidden="1" x14ac:dyDescent="0.35">
      <c r="A564" t="s">
        <v>27</v>
      </c>
      <c r="B564">
        <v>2</v>
      </c>
      <c r="C564">
        <v>5</v>
      </c>
      <c r="D564">
        <v>5</v>
      </c>
      <c r="E564" t="s">
        <v>22</v>
      </c>
      <c r="F564">
        <v>200</v>
      </c>
      <c r="G564">
        <v>1</v>
      </c>
      <c r="H564">
        <v>20</v>
      </c>
      <c r="I564" t="s">
        <v>26</v>
      </c>
      <c r="J564" s="3">
        <v>116.55441500000001</v>
      </c>
      <c r="K564" s="3">
        <v>19642.361000000001</v>
      </c>
      <c r="L564" s="3">
        <v>25495.303</v>
      </c>
      <c r="M564" s="3">
        <v>19642.361000000001</v>
      </c>
      <c r="N564" s="3">
        <v>19642.361000000001</v>
      </c>
      <c r="O564" s="4">
        <v>0</v>
      </c>
      <c r="P564" s="4">
        <v>29.797499999999999</v>
      </c>
      <c r="Q564" s="4">
        <v>0</v>
      </c>
      <c r="R564" s="5">
        <v>1.4200000000000001E-2</v>
      </c>
      <c r="S564">
        <v>36</v>
      </c>
      <c r="T564" t="b">
        <v>0</v>
      </c>
      <c r="U564">
        <v>5</v>
      </c>
      <c r="V564" s="4">
        <v>34.31</v>
      </c>
    </row>
    <row r="565" spans="1:22" hidden="1" x14ac:dyDescent="0.35">
      <c r="A565" t="s">
        <v>27</v>
      </c>
      <c r="B565">
        <v>2</v>
      </c>
      <c r="C565">
        <v>5</v>
      </c>
      <c r="D565">
        <v>5</v>
      </c>
      <c r="E565" t="s">
        <v>22</v>
      </c>
      <c r="F565">
        <v>200</v>
      </c>
      <c r="G565">
        <v>3</v>
      </c>
      <c r="H565">
        <v>20</v>
      </c>
      <c r="I565" t="s">
        <v>26</v>
      </c>
      <c r="J565" s="3">
        <v>116.55441500000001</v>
      </c>
      <c r="K565" s="3">
        <v>19642.361000000001</v>
      </c>
      <c r="L565" s="3">
        <v>25495.303</v>
      </c>
      <c r="M565" s="3">
        <v>19642.361000000001</v>
      </c>
      <c r="N565" s="3">
        <v>19642.361000000001</v>
      </c>
      <c r="O565" s="4">
        <v>0</v>
      </c>
      <c r="P565" s="4">
        <v>29.797499999999999</v>
      </c>
      <c r="Q565" s="4">
        <v>0</v>
      </c>
      <c r="R565" s="5">
        <v>1.4200000000000001E-2</v>
      </c>
      <c r="S565">
        <v>36</v>
      </c>
      <c r="T565" t="b">
        <v>0</v>
      </c>
      <c r="U565">
        <v>5</v>
      </c>
      <c r="V565" s="4">
        <v>102.22</v>
      </c>
    </row>
    <row r="566" spans="1:22" hidden="1" x14ac:dyDescent="0.35">
      <c r="A566" t="s">
        <v>27</v>
      </c>
      <c r="B566">
        <v>2</v>
      </c>
      <c r="C566">
        <v>5</v>
      </c>
      <c r="D566">
        <v>5</v>
      </c>
      <c r="E566" t="s">
        <v>25</v>
      </c>
      <c r="F566">
        <v>50</v>
      </c>
      <c r="G566">
        <v>1</v>
      </c>
      <c r="H566">
        <v>20</v>
      </c>
      <c r="I566" t="s">
        <v>26</v>
      </c>
      <c r="J566" s="3">
        <v>379.804328</v>
      </c>
      <c r="K566" s="3" t="s">
        <v>24</v>
      </c>
      <c r="L566" s="3" t="s">
        <v>24</v>
      </c>
      <c r="M566" s="3" t="s">
        <v>24</v>
      </c>
      <c r="N566" s="3">
        <v>19642.361000000001</v>
      </c>
      <c r="O566" s="4"/>
      <c r="P566" s="4"/>
      <c r="Q566" s="4"/>
      <c r="R566" s="5">
        <v>0</v>
      </c>
      <c r="S566">
        <v>0</v>
      </c>
      <c r="T566" t="b">
        <v>1</v>
      </c>
      <c r="U566">
        <v>-1</v>
      </c>
      <c r="V566" s="4">
        <v>5.56</v>
      </c>
    </row>
    <row r="567" spans="1:22" hidden="1" x14ac:dyDescent="0.35">
      <c r="A567" t="s">
        <v>27</v>
      </c>
      <c r="B567">
        <v>2</v>
      </c>
      <c r="C567">
        <v>5</v>
      </c>
      <c r="D567">
        <v>5</v>
      </c>
      <c r="E567" t="s">
        <v>25</v>
      </c>
      <c r="F567">
        <v>50</v>
      </c>
      <c r="G567">
        <v>3</v>
      </c>
      <c r="H567">
        <v>20</v>
      </c>
      <c r="I567" t="s">
        <v>26</v>
      </c>
      <c r="J567" s="3">
        <v>377.53912700000001</v>
      </c>
      <c r="K567" s="3" t="s">
        <v>24</v>
      </c>
      <c r="L567" s="3" t="s">
        <v>24</v>
      </c>
      <c r="M567" s="3" t="s">
        <v>24</v>
      </c>
      <c r="N567" s="3">
        <v>19642.361000000001</v>
      </c>
      <c r="O567" s="4"/>
      <c r="P567" s="4"/>
      <c r="Q567" s="4"/>
      <c r="R567" s="5">
        <v>0</v>
      </c>
      <c r="S567">
        <v>0</v>
      </c>
      <c r="T567" t="b">
        <v>1</v>
      </c>
      <c r="U567">
        <v>-1</v>
      </c>
      <c r="V567" s="4">
        <v>15.42</v>
      </c>
    </row>
    <row r="568" spans="1:22" hidden="1" x14ac:dyDescent="0.35">
      <c r="A568" t="s">
        <v>27</v>
      </c>
      <c r="B568">
        <v>2</v>
      </c>
      <c r="C568">
        <v>5</v>
      </c>
      <c r="D568">
        <v>5</v>
      </c>
      <c r="E568" t="s">
        <v>25</v>
      </c>
      <c r="F568">
        <v>200</v>
      </c>
      <c r="G568">
        <v>1</v>
      </c>
      <c r="H568">
        <v>20</v>
      </c>
      <c r="I568" t="s">
        <v>26</v>
      </c>
      <c r="J568" s="3">
        <v>379.804328</v>
      </c>
      <c r="K568" s="3" t="s">
        <v>24</v>
      </c>
      <c r="L568" s="3" t="s">
        <v>24</v>
      </c>
      <c r="M568" s="3" t="s">
        <v>24</v>
      </c>
      <c r="N568" s="3">
        <v>19642.361000000001</v>
      </c>
      <c r="O568" s="4"/>
      <c r="P568" s="4"/>
      <c r="Q568" s="4"/>
      <c r="R568" s="5">
        <v>0</v>
      </c>
      <c r="S568">
        <v>0</v>
      </c>
      <c r="T568" t="b">
        <v>1</v>
      </c>
      <c r="U568">
        <v>-1</v>
      </c>
      <c r="V568" s="4">
        <v>5.59</v>
      </c>
    </row>
    <row r="569" spans="1:22" hidden="1" x14ac:dyDescent="0.35">
      <c r="A569" t="s">
        <v>27</v>
      </c>
      <c r="B569">
        <v>2</v>
      </c>
      <c r="C569">
        <v>5</v>
      </c>
      <c r="D569">
        <v>5</v>
      </c>
      <c r="E569" t="s">
        <v>25</v>
      </c>
      <c r="F569">
        <v>200</v>
      </c>
      <c r="G569">
        <v>3</v>
      </c>
      <c r="H569">
        <v>20</v>
      </c>
      <c r="I569" t="s">
        <v>26</v>
      </c>
      <c r="J569" s="3">
        <v>377.53912700000001</v>
      </c>
      <c r="K569" s="3" t="s">
        <v>24</v>
      </c>
      <c r="L569" s="3" t="s">
        <v>24</v>
      </c>
      <c r="M569" s="3" t="s">
        <v>24</v>
      </c>
      <c r="N569" s="3">
        <v>19642.361000000001</v>
      </c>
      <c r="O569" s="4"/>
      <c r="P569" s="4"/>
      <c r="Q569" s="4"/>
      <c r="R569" s="5">
        <v>0</v>
      </c>
      <c r="S569">
        <v>0</v>
      </c>
      <c r="T569" t="b">
        <v>1</v>
      </c>
      <c r="U569">
        <v>-1</v>
      </c>
      <c r="V569" s="4">
        <v>15.3</v>
      </c>
    </row>
    <row r="570" spans="1:22" hidden="1" x14ac:dyDescent="0.35">
      <c r="A570" t="s">
        <v>27</v>
      </c>
      <c r="B570">
        <v>2</v>
      </c>
      <c r="C570">
        <v>5</v>
      </c>
      <c r="D570">
        <v>10</v>
      </c>
      <c r="E570" t="s">
        <v>22</v>
      </c>
      <c r="F570">
        <v>50</v>
      </c>
      <c r="G570">
        <v>1</v>
      </c>
      <c r="H570">
        <v>20</v>
      </c>
      <c r="I570" t="s">
        <v>26</v>
      </c>
      <c r="J570" s="3">
        <v>718.70132599999999</v>
      </c>
      <c r="K570" s="3">
        <v>21565.5</v>
      </c>
      <c r="L570" s="3">
        <v>23646.293000000001</v>
      </c>
      <c r="M570" s="3">
        <v>21565.5</v>
      </c>
      <c r="N570" s="3">
        <v>19642.361000000001</v>
      </c>
      <c r="O570" s="4">
        <v>9.7908000000000008</v>
      </c>
      <c r="P570" s="4">
        <v>20.3842</v>
      </c>
      <c r="Q570" s="4">
        <v>9.7908000000000008</v>
      </c>
      <c r="R570" s="5">
        <v>2.0000000000000001E-4</v>
      </c>
      <c r="S570">
        <v>2</v>
      </c>
      <c r="T570" t="b">
        <v>0</v>
      </c>
      <c r="U570">
        <v>2</v>
      </c>
      <c r="V570" s="4">
        <v>21.18</v>
      </c>
    </row>
    <row r="571" spans="1:22" hidden="1" x14ac:dyDescent="0.35">
      <c r="A571" t="s">
        <v>27</v>
      </c>
      <c r="B571">
        <v>2</v>
      </c>
      <c r="C571">
        <v>5</v>
      </c>
      <c r="D571">
        <v>10</v>
      </c>
      <c r="E571" t="s">
        <v>22</v>
      </c>
      <c r="F571">
        <v>50</v>
      </c>
      <c r="G571">
        <v>3</v>
      </c>
      <c r="H571">
        <v>20</v>
      </c>
      <c r="I571" t="s">
        <v>26</v>
      </c>
      <c r="J571" s="3">
        <v>278.87807099999998</v>
      </c>
      <c r="K571" s="3">
        <v>21839.781999999999</v>
      </c>
      <c r="L571" s="3">
        <v>21839.781999999999</v>
      </c>
      <c r="M571" s="3">
        <v>21839.781999999999</v>
      </c>
      <c r="N571" s="3">
        <v>19642.361000000001</v>
      </c>
      <c r="O571" s="4">
        <v>11.187200000000001</v>
      </c>
      <c r="P571" s="4">
        <v>11.187200000000001</v>
      </c>
      <c r="Q571" s="4">
        <v>11.187200000000001</v>
      </c>
      <c r="R571" s="5">
        <v>2.9999999999999997E-4</v>
      </c>
      <c r="S571">
        <v>3</v>
      </c>
      <c r="T571" t="b">
        <v>0</v>
      </c>
      <c r="U571">
        <v>1</v>
      </c>
      <c r="V571" s="4">
        <v>61.08</v>
      </c>
    </row>
    <row r="572" spans="1:22" hidden="1" x14ac:dyDescent="0.35">
      <c r="A572" t="s">
        <v>27</v>
      </c>
      <c r="B572">
        <v>2</v>
      </c>
      <c r="C572">
        <v>5</v>
      </c>
      <c r="D572">
        <v>10</v>
      </c>
      <c r="E572" t="s">
        <v>22</v>
      </c>
      <c r="F572">
        <v>200</v>
      </c>
      <c r="G572">
        <v>1</v>
      </c>
      <c r="H572">
        <v>20</v>
      </c>
      <c r="I572" t="s">
        <v>26</v>
      </c>
      <c r="J572" s="3">
        <v>713.43763799999999</v>
      </c>
      <c r="K572" s="3" t="s">
        <v>24</v>
      </c>
      <c r="L572" s="3" t="s">
        <v>24</v>
      </c>
      <c r="M572" s="3" t="s">
        <v>24</v>
      </c>
      <c r="N572" s="3">
        <v>19642.361000000001</v>
      </c>
      <c r="O572" s="4"/>
      <c r="P572" s="4"/>
      <c r="Q572" s="4"/>
      <c r="R572" s="5">
        <v>0</v>
      </c>
      <c r="S572">
        <v>0</v>
      </c>
      <c r="T572" t="b">
        <v>1</v>
      </c>
      <c r="U572">
        <v>-1</v>
      </c>
      <c r="V572" s="4">
        <v>33.46</v>
      </c>
    </row>
    <row r="573" spans="1:22" hidden="1" x14ac:dyDescent="0.35">
      <c r="A573" t="s">
        <v>27</v>
      </c>
      <c r="B573">
        <v>2</v>
      </c>
      <c r="C573">
        <v>5</v>
      </c>
      <c r="D573">
        <v>10</v>
      </c>
      <c r="E573" t="s">
        <v>22</v>
      </c>
      <c r="F573">
        <v>200</v>
      </c>
      <c r="G573">
        <v>3</v>
      </c>
      <c r="H573">
        <v>20</v>
      </c>
      <c r="I573" t="s">
        <v>26</v>
      </c>
      <c r="J573" s="3">
        <v>257.44361500000002</v>
      </c>
      <c r="K573" s="3">
        <v>21435.544999999998</v>
      </c>
      <c r="L573" s="3">
        <v>21565.5</v>
      </c>
      <c r="M573" s="3">
        <v>21435.544999999998</v>
      </c>
      <c r="N573" s="3">
        <v>19642.361000000001</v>
      </c>
      <c r="O573" s="4">
        <v>9.1292000000000009</v>
      </c>
      <c r="P573" s="4">
        <v>9.7908000000000008</v>
      </c>
      <c r="Q573" s="4">
        <v>9.1292000000000009</v>
      </c>
      <c r="R573" s="5">
        <v>2.0000000000000001E-4</v>
      </c>
      <c r="S573">
        <v>2</v>
      </c>
      <c r="T573" t="b">
        <v>0</v>
      </c>
      <c r="U573">
        <v>2</v>
      </c>
      <c r="V573" s="4">
        <v>103.59</v>
      </c>
    </row>
    <row r="574" spans="1:22" hidden="1" x14ac:dyDescent="0.35">
      <c r="A574" t="s">
        <v>27</v>
      </c>
      <c r="B574">
        <v>2</v>
      </c>
      <c r="C574">
        <v>5</v>
      </c>
      <c r="D574">
        <v>10</v>
      </c>
      <c r="E574" t="s">
        <v>25</v>
      </c>
      <c r="F574">
        <v>50</v>
      </c>
      <c r="G574">
        <v>1</v>
      </c>
      <c r="H574">
        <v>20</v>
      </c>
      <c r="I574" t="s">
        <v>26</v>
      </c>
      <c r="J574" s="3">
        <v>734.93227999999999</v>
      </c>
      <c r="K574" s="3">
        <v>21435.544999999998</v>
      </c>
      <c r="L574" s="3">
        <v>21435.544999999998</v>
      </c>
      <c r="M574" s="3">
        <v>21435.544999999998</v>
      </c>
      <c r="N574" s="3">
        <v>19642.361000000001</v>
      </c>
      <c r="O574" s="4">
        <v>9.1292000000000009</v>
      </c>
      <c r="P574" s="4">
        <v>9.1292000000000009</v>
      </c>
      <c r="Q574" s="4">
        <v>9.1292000000000009</v>
      </c>
      <c r="R574" s="5">
        <v>2.9999999999999997E-4</v>
      </c>
      <c r="S574">
        <v>3</v>
      </c>
      <c r="T574" t="b">
        <v>0</v>
      </c>
      <c r="U574">
        <v>1</v>
      </c>
      <c r="V574" s="4">
        <v>5.48</v>
      </c>
    </row>
    <row r="575" spans="1:22" hidden="1" x14ac:dyDescent="0.35">
      <c r="A575" t="s">
        <v>27</v>
      </c>
      <c r="B575">
        <v>2</v>
      </c>
      <c r="C575">
        <v>5</v>
      </c>
      <c r="D575">
        <v>10</v>
      </c>
      <c r="E575" t="s">
        <v>25</v>
      </c>
      <c r="F575">
        <v>50</v>
      </c>
      <c r="G575">
        <v>3</v>
      </c>
      <c r="H575">
        <v>20</v>
      </c>
      <c r="I575" t="s">
        <v>26</v>
      </c>
      <c r="J575" s="3">
        <v>734.93227999999999</v>
      </c>
      <c r="K575" s="3">
        <v>21435.544999999998</v>
      </c>
      <c r="L575" s="3">
        <v>21435.544999999998</v>
      </c>
      <c r="M575" s="3">
        <v>21435.544999999998</v>
      </c>
      <c r="N575" s="3">
        <v>19642.361000000001</v>
      </c>
      <c r="O575" s="4">
        <v>9.1292000000000009</v>
      </c>
      <c r="P575" s="4">
        <v>9.1292000000000009</v>
      </c>
      <c r="Q575" s="4">
        <v>9.1292000000000009</v>
      </c>
      <c r="R575" s="5">
        <v>2.9999999999999997E-4</v>
      </c>
      <c r="S575">
        <v>3</v>
      </c>
      <c r="T575" t="b">
        <v>0</v>
      </c>
      <c r="U575">
        <v>1</v>
      </c>
      <c r="V575" s="4">
        <v>15.16</v>
      </c>
    </row>
    <row r="576" spans="1:22" hidden="1" x14ac:dyDescent="0.35">
      <c r="A576" t="s">
        <v>27</v>
      </c>
      <c r="B576">
        <v>2</v>
      </c>
      <c r="C576">
        <v>5</v>
      </c>
      <c r="D576">
        <v>10</v>
      </c>
      <c r="E576" t="s">
        <v>25</v>
      </c>
      <c r="F576">
        <v>200</v>
      </c>
      <c r="G576">
        <v>1</v>
      </c>
      <c r="H576">
        <v>20</v>
      </c>
      <c r="I576" t="s">
        <v>26</v>
      </c>
      <c r="J576" s="3">
        <v>734.93227999999999</v>
      </c>
      <c r="K576" s="3">
        <v>21435.544999999998</v>
      </c>
      <c r="L576" s="3">
        <v>21435.544999999998</v>
      </c>
      <c r="M576" s="3">
        <v>21435.544999999998</v>
      </c>
      <c r="N576" s="3">
        <v>19642.361000000001</v>
      </c>
      <c r="O576" s="4">
        <v>9.1292000000000009</v>
      </c>
      <c r="P576" s="4">
        <v>9.1292000000000009</v>
      </c>
      <c r="Q576" s="4">
        <v>9.1292000000000009</v>
      </c>
      <c r="R576" s="5">
        <v>2.9999999999999997E-4</v>
      </c>
      <c r="S576">
        <v>3</v>
      </c>
      <c r="T576" t="b">
        <v>0</v>
      </c>
      <c r="U576">
        <v>1</v>
      </c>
      <c r="V576" s="4">
        <v>5.72</v>
      </c>
    </row>
    <row r="577" spans="1:22" hidden="1" x14ac:dyDescent="0.35">
      <c r="A577" t="s">
        <v>27</v>
      </c>
      <c r="B577">
        <v>2</v>
      </c>
      <c r="C577">
        <v>5</v>
      </c>
      <c r="D577">
        <v>10</v>
      </c>
      <c r="E577" t="s">
        <v>25</v>
      </c>
      <c r="F577">
        <v>200</v>
      </c>
      <c r="G577">
        <v>3</v>
      </c>
      <c r="H577">
        <v>20</v>
      </c>
      <c r="I577" t="s">
        <v>26</v>
      </c>
      <c r="J577" s="3">
        <v>734.93227999999999</v>
      </c>
      <c r="K577" s="3">
        <v>21435.544999999998</v>
      </c>
      <c r="L577" s="3">
        <v>21435.544999999998</v>
      </c>
      <c r="M577" s="3">
        <v>21435.544999999998</v>
      </c>
      <c r="N577" s="3">
        <v>19642.361000000001</v>
      </c>
      <c r="O577" s="4">
        <v>9.1292000000000009</v>
      </c>
      <c r="P577" s="4">
        <v>9.1292000000000009</v>
      </c>
      <c r="Q577" s="4">
        <v>9.1292000000000009</v>
      </c>
      <c r="R577" s="5">
        <v>2.9999999999999997E-4</v>
      </c>
      <c r="S577">
        <v>3</v>
      </c>
      <c r="T577" t="b">
        <v>0</v>
      </c>
      <c r="U577">
        <v>1</v>
      </c>
      <c r="V577" s="4">
        <v>15.25</v>
      </c>
    </row>
    <row r="578" spans="1:22" hidden="1" x14ac:dyDescent="0.35">
      <c r="A578" t="s">
        <v>27</v>
      </c>
      <c r="B578">
        <v>3</v>
      </c>
      <c r="C578">
        <v>1</v>
      </c>
      <c r="D578">
        <v>2</v>
      </c>
      <c r="E578" t="s">
        <v>22</v>
      </c>
      <c r="F578">
        <v>50</v>
      </c>
      <c r="G578">
        <v>1</v>
      </c>
      <c r="H578">
        <v>20</v>
      </c>
      <c r="I578" t="s">
        <v>26</v>
      </c>
      <c r="J578" s="3">
        <v>59.024307999999998</v>
      </c>
      <c r="K578" s="3">
        <v>23577.938999999998</v>
      </c>
      <c r="L578" s="3">
        <v>25440.276000000002</v>
      </c>
      <c r="M578" s="3">
        <v>23577.938999999998</v>
      </c>
      <c r="N578" s="3">
        <v>23577.938999999998</v>
      </c>
      <c r="O578" s="4">
        <v>0</v>
      </c>
      <c r="P578" s="4">
        <v>7.8986000000000001</v>
      </c>
      <c r="Q578" s="4">
        <v>0</v>
      </c>
      <c r="R578" s="5">
        <v>5.1999999999999998E-3</v>
      </c>
      <c r="S578">
        <v>12</v>
      </c>
      <c r="T578" t="b">
        <v>0</v>
      </c>
      <c r="U578">
        <v>11</v>
      </c>
      <c r="V578" s="4">
        <v>6.25</v>
      </c>
    </row>
    <row r="579" spans="1:22" hidden="1" x14ac:dyDescent="0.35">
      <c r="A579" t="s">
        <v>27</v>
      </c>
      <c r="B579">
        <v>3</v>
      </c>
      <c r="C579">
        <v>1</v>
      </c>
      <c r="D579">
        <v>2</v>
      </c>
      <c r="E579" t="s">
        <v>22</v>
      </c>
      <c r="F579">
        <v>50</v>
      </c>
      <c r="G579">
        <v>3</v>
      </c>
      <c r="H579">
        <v>20</v>
      </c>
      <c r="I579" t="s">
        <v>26</v>
      </c>
      <c r="J579" s="3">
        <v>59.024307999999998</v>
      </c>
      <c r="K579" s="3">
        <v>23577.938999999998</v>
      </c>
      <c r="L579" s="3">
        <v>25440.276000000002</v>
      </c>
      <c r="M579" s="3">
        <v>23577.938999999998</v>
      </c>
      <c r="N579" s="3">
        <v>23577.938999999998</v>
      </c>
      <c r="O579" s="4">
        <v>0</v>
      </c>
      <c r="P579" s="4">
        <v>7.8986000000000001</v>
      </c>
      <c r="Q579" s="4">
        <v>0</v>
      </c>
      <c r="R579" s="5">
        <v>5.1999999999999998E-3</v>
      </c>
      <c r="S579">
        <v>12</v>
      </c>
      <c r="T579" t="b">
        <v>0</v>
      </c>
      <c r="U579">
        <v>11</v>
      </c>
      <c r="V579" s="4">
        <v>17.84</v>
      </c>
    </row>
    <row r="580" spans="1:22" hidden="1" x14ac:dyDescent="0.35">
      <c r="A580" t="s">
        <v>27</v>
      </c>
      <c r="B580">
        <v>3</v>
      </c>
      <c r="C580">
        <v>1</v>
      </c>
      <c r="D580">
        <v>2</v>
      </c>
      <c r="E580" t="s">
        <v>22</v>
      </c>
      <c r="F580">
        <v>200</v>
      </c>
      <c r="G580">
        <v>1</v>
      </c>
      <c r="H580">
        <v>20</v>
      </c>
      <c r="I580" t="s">
        <v>26</v>
      </c>
      <c r="J580" s="3">
        <v>59.024307999999998</v>
      </c>
      <c r="K580" s="3">
        <v>23577.938999999998</v>
      </c>
      <c r="L580" s="3">
        <v>25440.276000000002</v>
      </c>
      <c r="M580" s="3">
        <v>23577.938999999998</v>
      </c>
      <c r="N580" s="3">
        <v>23577.938999999998</v>
      </c>
      <c r="O580" s="4">
        <v>0</v>
      </c>
      <c r="P580" s="4">
        <v>7.8986000000000001</v>
      </c>
      <c r="Q580" s="4">
        <v>0</v>
      </c>
      <c r="R580" s="5">
        <v>5.1999999999999998E-3</v>
      </c>
      <c r="S580">
        <v>12</v>
      </c>
      <c r="T580" t="b">
        <v>0</v>
      </c>
      <c r="U580">
        <v>11</v>
      </c>
      <c r="V580" s="4">
        <v>6.17</v>
      </c>
    </row>
    <row r="581" spans="1:22" hidden="1" x14ac:dyDescent="0.35">
      <c r="A581" t="s">
        <v>27</v>
      </c>
      <c r="B581">
        <v>3</v>
      </c>
      <c r="C581">
        <v>1</v>
      </c>
      <c r="D581">
        <v>2</v>
      </c>
      <c r="E581" t="s">
        <v>22</v>
      </c>
      <c r="F581">
        <v>200</v>
      </c>
      <c r="G581">
        <v>3</v>
      </c>
      <c r="H581">
        <v>20</v>
      </c>
      <c r="I581" t="s">
        <v>26</v>
      </c>
      <c r="J581" s="3">
        <v>59.024307999999998</v>
      </c>
      <c r="K581" s="3">
        <v>23577.938999999998</v>
      </c>
      <c r="L581" s="3">
        <v>25440.276000000002</v>
      </c>
      <c r="M581" s="3">
        <v>23577.938999999998</v>
      </c>
      <c r="N581" s="3">
        <v>23577.938999999998</v>
      </c>
      <c r="O581" s="4">
        <v>0</v>
      </c>
      <c r="P581" s="4">
        <v>7.8986000000000001</v>
      </c>
      <c r="Q581" s="4">
        <v>0</v>
      </c>
      <c r="R581" s="5">
        <v>5.1999999999999998E-3</v>
      </c>
      <c r="S581">
        <v>12</v>
      </c>
      <c r="T581" t="b">
        <v>0</v>
      </c>
      <c r="U581">
        <v>11</v>
      </c>
      <c r="V581" s="4">
        <v>17.38</v>
      </c>
    </row>
    <row r="582" spans="1:22" hidden="1" x14ac:dyDescent="0.35">
      <c r="A582" t="s">
        <v>27</v>
      </c>
      <c r="B582">
        <v>3</v>
      </c>
      <c r="C582">
        <v>1</v>
      </c>
      <c r="D582">
        <v>2</v>
      </c>
      <c r="E582" t="s">
        <v>25</v>
      </c>
      <c r="F582">
        <v>50</v>
      </c>
      <c r="G582">
        <v>1</v>
      </c>
      <c r="H582">
        <v>20</v>
      </c>
      <c r="I582" t="s">
        <v>26</v>
      </c>
      <c r="J582" s="3">
        <v>172.75158999999999</v>
      </c>
      <c r="K582" s="3">
        <v>27233.46</v>
      </c>
      <c r="L582" s="3">
        <v>27637.697</v>
      </c>
      <c r="M582" s="3">
        <v>27233.46</v>
      </c>
      <c r="N582" s="3">
        <v>23577.938999999998</v>
      </c>
      <c r="O582" s="4">
        <v>15.504</v>
      </c>
      <c r="P582" s="4">
        <v>17.218499999999999</v>
      </c>
      <c r="Q582" s="4">
        <v>15.504</v>
      </c>
      <c r="R582" s="5">
        <v>2.0000000000000001E-4</v>
      </c>
      <c r="S582">
        <v>2</v>
      </c>
      <c r="T582" t="b">
        <v>0</v>
      </c>
      <c r="U582">
        <v>2</v>
      </c>
      <c r="V582" s="4">
        <v>1.1299999999999999</v>
      </c>
    </row>
    <row r="583" spans="1:22" hidden="1" x14ac:dyDescent="0.35">
      <c r="A583" t="s">
        <v>27</v>
      </c>
      <c r="B583">
        <v>3</v>
      </c>
      <c r="C583">
        <v>1</v>
      </c>
      <c r="D583">
        <v>2</v>
      </c>
      <c r="E583" t="s">
        <v>25</v>
      </c>
      <c r="F583">
        <v>50</v>
      </c>
      <c r="G583">
        <v>3</v>
      </c>
      <c r="H583">
        <v>20</v>
      </c>
      <c r="I583" t="s">
        <v>26</v>
      </c>
      <c r="J583" s="3">
        <v>162.20747299999999</v>
      </c>
      <c r="K583" s="3" t="s">
        <v>24</v>
      </c>
      <c r="L583" s="3" t="s">
        <v>24</v>
      </c>
      <c r="M583" s="3" t="s">
        <v>24</v>
      </c>
      <c r="N583" s="3">
        <v>23577.938999999998</v>
      </c>
      <c r="O583" s="4"/>
      <c r="P583" s="4"/>
      <c r="Q583" s="4"/>
      <c r="R583" s="5">
        <v>0</v>
      </c>
      <c r="S583">
        <v>0</v>
      </c>
      <c r="T583" t="b">
        <v>1</v>
      </c>
      <c r="U583">
        <v>-1</v>
      </c>
      <c r="V583" s="4">
        <v>2.65</v>
      </c>
    </row>
    <row r="584" spans="1:22" hidden="1" x14ac:dyDescent="0.35">
      <c r="A584" t="s">
        <v>27</v>
      </c>
      <c r="B584">
        <v>3</v>
      </c>
      <c r="C584">
        <v>1</v>
      </c>
      <c r="D584">
        <v>2</v>
      </c>
      <c r="E584" t="s">
        <v>25</v>
      </c>
      <c r="F584">
        <v>200</v>
      </c>
      <c r="G584">
        <v>1</v>
      </c>
      <c r="H584">
        <v>20</v>
      </c>
      <c r="I584" t="s">
        <v>26</v>
      </c>
      <c r="J584" s="3">
        <v>172.75158999999999</v>
      </c>
      <c r="K584" s="3">
        <v>27233.46</v>
      </c>
      <c r="L584" s="3">
        <v>27637.697</v>
      </c>
      <c r="M584" s="3">
        <v>27233.46</v>
      </c>
      <c r="N584" s="3">
        <v>23577.938999999998</v>
      </c>
      <c r="O584" s="4">
        <v>15.504</v>
      </c>
      <c r="P584" s="4">
        <v>17.218499999999999</v>
      </c>
      <c r="Q584" s="4">
        <v>15.504</v>
      </c>
      <c r="R584" s="5">
        <v>2.0000000000000001E-4</v>
      </c>
      <c r="S584">
        <v>2</v>
      </c>
      <c r="T584" t="b">
        <v>0</v>
      </c>
      <c r="U584">
        <v>2</v>
      </c>
      <c r="V584" s="4">
        <v>1.1599999999999999</v>
      </c>
    </row>
    <row r="585" spans="1:22" hidden="1" x14ac:dyDescent="0.35">
      <c r="A585" t="s">
        <v>27</v>
      </c>
      <c r="B585">
        <v>3</v>
      </c>
      <c r="C585">
        <v>1</v>
      </c>
      <c r="D585">
        <v>2</v>
      </c>
      <c r="E585" t="s">
        <v>25</v>
      </c>
      <c r="F585">
        <v>200</v>
      </c>
      <c r="G585">
        <v>3</v>
      </c>
      <c r="H585">
        <v>20</v>
      </c>
      <c r="I585" t="s">
        <v>26</v>
      </c>
      <c r="J585" s="3">
        <v>162.20747299999999</v>
      </c>
      <c r="K585" s="3" t="s">
        <v>24</v>
      </c>
      <c r="L585" s="3" t="s">
        <v>24</v>
      </c>
      <c r="M585" s="3" t="s">
        <v>24</v>
      </c>
      <c r="N585" s="3">
        <v>23577.938999999998</v>
      </c>
      <c r="O585" s="4"/>
      <c r="P585" s="4"/>
      <c r="Q585" s="4"/>
      <c r="R585" s="5">
        <v>0</v>
      </c>
      <c r="S585">
        <v>0</v>
      </c>
      <c r="T585" t="b">
        <v>1</v>
      </c>
      <c r="U585">
        <v>-1</v>
      </c>
      <c r="V585" s="4">
        <v>2.73</v>
      </c>
    </row>
    <row r="586" spans="1:22" hidden="1" x14ac:dyDescent="0.35">
      <c r="A586" t="s">
        <v>27</v>
      </c>
      <c r="B586">
        <v>3</v>
      </c>
      <c r="C586">
        <v>1</v>
      </c>
      <c r="D586">
        <v>5</v>
      </c>
      <c r="E586" t="s">
        <v>22</v>
      </c>
      <c r="F586">
        <v>50</v>
      </c>
      <c r="G586">
        <v>1</v>
      </c>
      <c r="H586">
        <v>20</v>
      </c>
      <c r="I586" t="s">
        <v>26</v>
      </c>
      <c r="J586" s="3">
        <v>138.30619100000001</v>
      </c>
      <c r="K586" s="3">
        <v>23577.938999999998</v>
      </c>
      <c r="L586" s="3">
        <v>27233.46</v>
      </c>
      <c r="M586" s="3">
        <v>23577.938999999998</v>
      </c>
      <c r="N586" s="3">
        <v>23577.938999999998</v>
      </c>
      <c r="O586" s="4">
        <v>0</v>
      </c>
      <c r="P586" s="4">
        <v>15.504</v>
      </c>
      <c r="Q586" s="4">
        <v>0</v>
      </c>
      <c r="R586" s="5">
        <v>4.5999999999999999E-3</v>
      </c>
      <c r="S586">
        <v>12</v>
      </c>
      <c r="T586" t="b">
        <v>0</v>
      </c>
      <c r="U586">
        <v>8</v>
      </c>
      <c r="V586" s="4">
        <v>5.5</v>
      </c>
    </row>
    <row r="587" spans="1:22" hidden="1" x14ac:dyDescent="0.35">
      <c r="A587" t="s">
        <v>27</v>
      </c>
      <c r="B587">
        <v>3</v>
      </c>
      <c r="C587">
        <v>1</v>
      </c>
      <c r="D587">
        <v>5</v>
      </c>
      <c r="E587" t="s">
        <v>22</v>
      </c>
      <c r="F587">
        <v>50</v>
      </c>
      <c r="G587">
        <v>3</v>
      </c>
      <c r="H587">
        <v>20</v>
      </c>
      <c r="I587" t="s">
        <v>26</v>
      </c>
      <c r="J587" s="3">
        <v>138.30619100000001</v>
      </c>
      <c r="K587" s="3">
        <v>23577.938999999998</v>
      </c>
      <c r="L587" s="3">
        <v>27233.46</v>
      </c>
      <c r="M587" s="3">
        <v>23577.938999999998</v>
      </c>
      <c r="N587" s="3">
        <v>23577.938999999998</v>
      </c>
      <c r="O587" s="4">
        <v>0</v>
      </c>
      <c r="P587" s="4">
        <v>15.504</v>
      </c>
      <c r="Q587" s="4">
        <v>0</v>
      </c>
      <c r="R587" s="5">
        <v>4.5999999999999999E-3</v>
      </c>
      <c r="S587">
        <v>12</v>
      </c>
      <c r="T587" t="b">
        <v>0</v>
      </c>
      <c r="U587">
        <v>8</v>
      </c>
      <c r="V587" s="4">
        <v>17.46</v>
      </c>
    </row>
    <row r="588" spans="1:22" hidden="1" x14ac:dyDescent="0.35">
      <c r="A588" t="s">
        <v>27</v>
      </c>
      <c r="B588">
        <v>3</v>
      </c>
      <c r="C588">
        <v>1</v>
      </c>
      <c r="D588">
        <v>5</v>
      </c>
      <c r="E588" t="s">
        <v>22</v>
      </c>
      <c r="F588">
        <v>200</v>
      </c>
      <c r="G588">
        <v>1</v>
      </c>
      <c r="H588">
        <v>20</v>
      </c>
      <c r="I588" t="s">
        <v>26</v>
      </c>
      <c r="J588" s="3">
        <v>138.30619100000001</v>
      </c>
      <c r="K588" s="3">
        <v>23577.938999999998</v>
      </c>
      <c r="L588" s="3">
        <v>27233.46</v>
      </c>
      <c r="M588" s="3">
        <v>23577.938999999998</v>
      </c>
      <c r="N588" s="3">
        <v>23577.938999999998</v>
      </c>
      <c r="O588" s="4">
        <v>0</v>
      </c>
      <c r="P588" s="4">
        <v>15.504</v>
      </c>
      <c r="Q588" s="4">
        <v>0</v>
      </c>
      <c r="R588" s="5">
        <v>4.5999999999999999E-3</v>
      </c>
      <c r="S588">
        <v>12</v>
      </c>
      <c r="T588" t="b">
        <v>0</v>
      </c>
      <c r="U588">
        <v>8</v>
      </c>
      <c r="V588" s="4">
        <v>5.36</v>
      </c>
    </row>
    <row r="589" spans="1:22" hidden="1" x14ac:dyDescent="0.35">
      <c r="A589" t="s">
        <v>27</v>
      </c>
      <c r="B589">
        <v>3</v>
      </c>
      <c r="C589">
        <v>1</v>
      </c>
      <c r="D589">
        <v>5</v>
      </c>
      <c r="E589" t="s">
        <v>22</v>
      </c>
      <c r="F589">
        <v>200</v>
      </c>
      <c r="G589">
        <v>3</v>
      </c>
      <c r="H589">
        <v>20</v>
      </c>
      <c r="I589" t="s">
        <v>26</v>
      </c>
      <c r="J589" s="3">
        <v>138.30619100000001</v>
      </c>
      <c r="K589" s="3">
        <v>23577.938999999998</v>
      </c>
      <c r="L589" s="3">
        <v>27233.46</v>
      </c>
      <c r="M589" s="3">
        <v>23577.938999999998</v>
      </c>
      <c r="N589" s="3">
        <v>23577.938999999998</v>
      </c>
      <c r="O589" s="4">
        <v>0</v>
      </c>
      <c r="P589" s="4">
        <v>15.504</v>
      </c>
      <c r="Q589" s="4">
        <v>0</v>
      </c>
      <c r="R589" s="5">
        <v>4.5999999999999999E-3</v>
      </c>
      <c r="S589">
        <v>12</v>
      </c>
      <c r="T589" t="b">
        <v>0</v>
      </c>
      <c r="U589">
        <v>8</v>
      </c>
      <c r="V589" s="4">
        <v>17.48</v>
      </c>
    </row>
    <row r="590" spans="1:22" hidden="1" x14ac:dyDescent="0.35">
      <c r="A590" t="s">
        <v>27</v>
      </c>
      <c r="B590">
        <v>3</v>
      </c>
      <c r="C590">
        <v>1</v>
      </c>
      <c r="D590">
        <v>5</v>
      </c>
      <c r="E590" t="s">
        <v>25</v>
      </c>
      <c r="F590">
        <v>50</v>
      </c>
      <c r="G590">
        <v>1</v>
      </c>
      <c r="H590">
        <v>20</v>
      </c>
      <c r="I590" t="s">
        <v>26</v>
      </c>
      <c r="J590" s="3">
        <v>417.14483899999999</v>
      </c>
      <c r="K590" s="3">
        <v>27233.46</v>
      </c>
      <c r="L590" s="3">
        <v>27233.46</v>
      </c>
      <c r="M590" s="3">
        <v>27233.46</v>
      </c>
      <c r="N590" s="3">
        <v>23577.938999999998</v>
      </c>
      <c r="O590" s="4">
        <v>15.504</v>
      </c>
      <c r="P590" s="4">
        <v>15.504</v>
      </c>
      <c r="Q590" s="4">
        <v>15.504</v>
      </c>
      <c r="R590" s="5">
        <v>2.9999999999999997E-4</v>
      </c>
      <c r="S590">
        <v>3</v>
      </c>
      <c r="T590" t="b">
        <v>0</v>
      </c>
      <c r="U590">
        <v>1</v>
      </c>
      <c r="V590" s="4">
        <v>1.1499999999999999</v>
      </c>
    </row>
    <row r="591" spans="1:22" hidden="1" x14ac:dyDescent="0.35">
      <c r="A591" t="s">
        <v>27</v>
      </c>
      <c r="B591">
        <v>3</v>
      </c>
      <c r="C591">
        <v>1</v>
      </c>
      <c r="D591">
        <v>5</v>
      </c>
      <c r="E591" t="s">
        <v>25</v>
      </c>
      <c r="F591">
        <v>50</v>
      </c>
      <c r="G591">
        <v>3</v>
      </c>
      <c r="H591">
        <v>20</v>
      </c>
      <c r="I591" t="s">
        <v>26</v>
      </c>
      <c r="J591" s="3">
        <v>400.511346</v>
      </c>
      <c r="K591" s="3">
        <v>25440.276000000002</v>
      </c>
      <c r="L591" s="3">
        <v>25440.276000000002</v>
      </c>
      <c r="M591" s="3">
        <v>25440.276000000002</v>
      </c>
      <c r="N591" s="3">
        <v>23577.938999999998</v>
      </c>
      <c r="O591" s="4">
        <v>7.8986000000000001</v>
      </c>
      <c r="P591" s="4">
        <v>7.8986000000000001</v>
      </c>
      <c r="Q591" s="4">
        <v>7.8986000000000001</v>
      </c>
      <c r="R591" s="5">
        <v>1E-4</v>
      </c>
      <c r="S591">
        <v>1</v>
      </c>
      <c r="T591" t="b">
        <v>0</v>
      </c>
      <c r="U591">
        <v>1</v>
      </c>
      <c r="V591" s="4">
        <v>2.66</v>
      </c>
    </row>
    <row r="592" spans="1:22" hidden="1" x14ac:dyDescent="0.35">
      <c r="A592" t="s">
        <v>27</v>
      </c>
      <c r="B592">
        <v>3</v>
      </c>
      <c r="C592">
        <v>1</v>
      </c>
      <c r="D592">
        <v>5</v>
      </c>
      <c r="E592" t="s">
        <v>25</v>
      </c>
      <c r="F592">
        <v>200</v>
      </c>
      <c r="G592">
        <v>1</v>
      </c>
      <c r="H592">
        <v>20</v>
      </c>
      <c r="I592" t="s">
        <v>26</v>
      </c>
      <c r="J592" s="3">
        <v>417.14483899999999</v>
      </c>
      <c r="K592" s="3">
        <v>27233.46</v>
      </c>
      <c r="L592" s="3">
        <v>27233.46</v>
      </c>
      <c r="M592" s="3">
        <v>27233.46</v>
      </c>
      <c r="N592" s="3">
        <v>23577.938999999998</v>
      </c>
      <c r="O592" s="4">
        <v>15.504</v>
      </c>
      <c r="P592" s="4">
        <v>15.504</v>
      </c>
      <c r="Q592" s="4">
        <v>15.504</v>
      </c>
      <c r="R592" s="5">
        <v>2.9999999999999997E-4</v>
      </c>
      <c r="S592">
        <v>3</v>
      </c>
      <c r="T592" t="b">
        <v>0</v>
      </c>
      <c r="U592">
        <v>1</v>
      </c>
      <c r="V592" s="4">
        <v>1.18</v>
      </c>
    </row>
    <row r="593" spans="1:22" hidden="1" x14ac:dyDescent="0.35">
      <c r="A593" t="s">
        <v>27</v>
      </c>
      <c r="B593">
        <v>3</v>
      </c>
      <c r="C593">
        <v>1</v>
      </c>
      <c r="D593">
        <v>5</v>
      </c>
      <c r="E593" t="s">
        <v>25</v>
      </c>
      <c r="F593">
        <v>200</v>
      </c>
      <c r="G593">
        <v>3</v>
      </c>
      <c r="H593">
        <v>20</v>
      </c>
      <c r="I593" t="s">
        <v>26</v>
      </c>
      <c r="J593" s="3">
        <v>400.511346</v>
      </c>
      <c r="K593" s="3">
        <v>25440.276000000002</v>
      </c>
      <c r="L593" s="3">
        <v>25440.276000000002</v>
      </c>
      <c r="M593" s="3">
        <v>25440.276000000002</v>
      </c>
      <c r="N593" s="3">
        <v>23577.938999999998</v>
      </c>
      <c r="O593" s="4">
        <v>7.8986000000000001</v>
      </c>
      <c r="P593" s="4">
        <v>7.8986000000000001</v>
      </c>
      <c r="Q593" s="4">
        <v>7.8986000000000001</v>
      </c>
      <c r="R593" s="5">
        <v>1E-4</v>
      </c>
      <c r="S593">
        <v>1</v>
      </c>
      <c r="T593" t="b">
        <v>0</v>
      </c>
      <c r="U593">
        <v>1</v>
      </c>
      <c r="V593" s="4">
        <v>2.66</v>
      </c>
    </row>
    <row r="594" spans="1:22" hidden="1" x14ac:dyDescent="0.35">
      <c r="A594" t="s">
        <v>27</v>
      </c>
      <c r="B594">
        <v>3</v>
      </c>
      <c r="C594">
        <v>1</v>
      </c>
      <c r="D594">
        <v>10</v>
      </c>
      <c r="E594" t="s">
        <v>22</v>
      </c>
      <c r="F594">
        <v>50</v>
      </c>
      <c r="G594">
        <v>1</v>
      </c>
      <c r="H594">
        <v>20</v>
      </c>
      <c r="I594" t="s">
        <v>26</v>
      </c>
      <c r="J594" s="3">
        <v>279.042078</v>
      </c>
      <c r="K594" s="3">
        <v>23577.938999999998</v>
      </c>
      <c r="L594" s="3">
        <v>27521.069</v>
      </c>
      <c r="M594" s="3">
        <v>23577.938999999998</v>
      </c>
      <c r="N594" s="3">
        <v>23577.938999999998</v>
      </c>
      <c r="O594" s="4">
        <v>0</v>
      </c>
      <c r="P594" s="4">
        <v>16.723800000000001</v>
      </c>
      <c r="Q594" s="4">
        <v>0</v>
      </c>
      <c r="R594" s="5">
        <v>3.2000000000000002E-3</v>
      </c>
      <c r="S594">
        <v>11</v>
      </c>
      <c r="T594" t="b">
        <v>0</v>
      </c>
      <c r="U594">
        <v>11</v>
      </c>
      <c r="V594" s="4">
        <v>6.79</v>
      </c>
    </row>
    <row r="595" spans="1:22" hidden="1" x14ac:dyDescent="0.35">
      <c r="A595" t="s">
        <v>27</v>
      </c>
      <c r="B595">
        <v>3</v>
      </c>
      <c r="C595">
        <v>1</v>
      </c>
      <c r="D595">
        <v>10</v>
      </c>
      <c r="E595" t="s">
        <v>22</v>
      </c>
      <c r="F595">
        <v>50</v>
      </c>
      <c r="G595">
        <v>3</v>
      </c>
      <c r="H595">
        <v>20</v>
      </c>
      <c r="I595" t="s">
        <v>26</v>
      </c>
      <c r="J595" s="3">
        <v>279.042078</v>
      </c>
      <c r="K595" s="3">
        <v>23577.938999999998</v>
      </c>
      <c r="L595" s="3">
        <v>27521.069</v>
      </c>
      <c r="M595" s="3">
        <v>23577.938999999998</v>
      </c>
      <c r="N595" s="3">
        <v>23577.938999999998</v>
      </c>
      <c r="O595" s="4">
        <v>0</v>
      </c>
      <c r="P595" s="4">
        <v>16.723800000000001</v>
      </c>
      <c r="Q595" s="4">
        <v>0</v>
      </c>
      <c r="R595" s="5">
        <v>3.2000000000000002E-3</v>
      </c>
      <c r="S595">
        <v>11</v>
      </c>
      <c r="T595" t="b">
        <v>0</v>
      </c>
      <c r="U595">
        <v>11</v>
      </c>
      <c r="V595" s="4">
        <v>20.9</v>
      </c>
    </row>
    <row r="596" spans="1:22" hidden="1" x14ac:dyDescent="0.35">
      <c r="A596" t="s">
        <v>27</v>
      </c>
      <c r="B596">
        <v>3</v>
      </c>
      <c r="C596">
        <v>1</v>
      </c>
      <c r="D596">
        <v>10</v>
      </c>
      <c r="E596" t="s">
        <v>22</v>
      </c>
      <c r="F596">
        <v>200</v>
      </c>
      <c r="G596">
        <v>1</v>
      </c>
      <c r="H596">
        <v>20</v>
      </c>
      <c r="I596" t="s">
        <v>26</v>
      </c>
      <c r="J596" s="3">
        <v>279.042078</v>
      </c>
      <c r="K596" s="3">
        <v>23577.938999999998</v>
      </c>
      <c r="L596" s="3">
        <v>27521.069</v>
      </c>
      <c r="M596" s="3">
        <v>23577.938999999998</v>
      </c>
      <c r="N596" s="3">
        <v>23577.938999999998</v>
      </c>
      <c r="O596" s="4">
        <v>0</v>
      </c>
      <c r="P596" s="4">
        <v>16.723800000000001</v>
      </c>
      <c r="Q596" s="4">
        <v>0</v>
      </c>
      <c r="R596" s="5">
        <v>3.2000000000000002E-3</v>
      </c>
      <c r="S596">
        <v>11</v>
      </c>
      <c r="T596" t="b">
        <v>0</v>
      </c>
      <c r="U596">
        <v>11</v>
      </c>
      <c r="V596" s="4">
        <v>6.72</v>
      </c>
    </row>
    <row r="597" spans="1:22" hidden="1" x14ac:dyDescent="0.35">
      <c r="A597" t="s">
        <v>27</v>
      </c>
      <c r="B597">
        <v>3</v>
      </c>
      <c r="C597">
        <v>1</v>
      </c>
      <c r="D597">
        <v>10</v>
      </c>
      <c r="E597" t="s">
        <v>22</v>
      </c>
      <c r="F597">
        <v>200</v>
      </c>
      <c r="G597">
        <v>3</v>
      </c>
      <c r="H597">
        <v>20</v>
      </c>
      <c r="I597" t="s">
        <v>26</v>
      </c>
      <c r="J597" s="3">
        <v>279.042078</v>
      </c>
      <c r="K597" s="3">
        <v>23577.938999999998</v>
      </c>
      <c r="L597" s="3">
        <v>27521.069</v>
      </c>
      <c r="M597" s="3">
        <v>23577.938999999998</v>
      </c>
      <c r="N597" s="3">
        <v>23577.938999999998</v>
      </c>
      <c r="O597" s="4">
        <v>0</v>
      </c>
      <c r="P597" s="4">
        <v>16.723800000000001</v>
      </c>
      <c r="Q597" s="4">
        <v>0</v>
      </c>
      <c r="R597" s="5">
        <v>3.2000000000000002E-3</v>
      </c>
      <c r="S597">
        <v>11</v>
      </c>
      <c r="T597" t="b">
        <v>0</v>
      </c>
      <c r="U597">
        <v>11</v>
      </c>
      <c r="V597" s="4">
        <v>20.85</v>
      </c>
    </row>
    <row r="598" spans="1:22" hidden="1" x14ac:dyDescent="0.35">
      <c r="A598" t="s">
        <v>27</v>
      </c>
      <c r="B598">
        <v>3</v>
      </c>
      <c r="C598">
        <v>1</v>
      </c>
      <c r="D598">
        <v>10</v>
      </c>
      <c r="E598" t="s">
        <v>25</v>
      </c>
      <c r="F598">
        <v>50</v>
      </c>
      <c r="G598">
        <v>1</v>
      </c>
      <c r="H598">
        <v>20</v>
      </c>
      <c r="I598" t="s">
        <v>26</v>
      </c>
      <c r="J598" s="3">
        <v>835.86197800000002</v>
      </c>
      <c r="K598" s="3">
        <v>27233.46</v>
      </c>
      <c r="L598" s="3">
        <v>27233.46</v>
      </c>
      <c r="M598" s="3">
        <v>27233.46</v>
      </c>
      <c r="N598" s="3">
        <v>23577.938999999998</v>
      </c>
      <c r="O598" s="4">
        <v>15.504</v>
      </c>
      <c r="P598" s="4">
        <v>15.504</v>
      </c>
      <c r="Q598" s="4">
        <v>15.504</v>
      </c>
      <c r="R598" s="5">
        <v>2.0000000000000001E-4</v>
      </c>
      <c r="S598">
        <v>2</v>
      </c>
      <c r="T598" t="b">
        <v>0</v>
      </c>
      <c r="U598">
        <v>1</v>
      </c>
      <c r="V598" s="4">
        <v>1.1599999999999999</v>
      </c>
    </row>
    <row r="599" spans="1:22" hidden="1" x14ac:dyDescent="0.35">
      <c r="A599" t="s">
        <v>27</v>
      </c>
      <c r="B599">
        <v>3</v>
      </c>
      <c r="C599">
        <v>1</v>
      </c>
      <c r="D599">
        <v>10</v>
      </c>
      <c r="E599" t="s">
        <v>25</v>
      </c>
      <c r="F599">
        <v>50</v>
      </c>
      <c r="G599">
        <v>3</v>
      </c>
      <c r="H599">
        <v>20</v>
      </c>
      <c r="I599" t="s">
        <v>26</v>
      </c>
      <c r="J599" s="3">
        <v>794.11324100000002</v>
      </c>
      <c r="K599" s="3" t="s">
        <v>24</v>
      </c>
      <c r="L599" s="3" t="s">
        <v>24</v>
      </c>
      <c r="M599" s="3" t="s">
        <v>24</v>
      </c>
      <c r="N599" s="3">
        <v>23577.938999999998</v>
      </c>
      <c r="O599" s="4"/>
      <c r="P599" s="4"/>
      <c r="Q599" s="4"/>
      <c r="R599" s="5">
        <v>0</v>
      </c>
      <c r="S599">
        <v>0</v>
      </c>
      <c r="T599" t="b">
        <v>1</v>
      </c>
      <c r="U599">
        <v>-1</v>
      </c>
      <c r="V599" s="4">
        <v>2.64</v>
      </c>
    </row>
    <row r="600" spans="1:22" hidden="1" x14ac:dyDescent="0.35">
      <c r="A600" t="s">
        <v>27</v>
      </c>
      <c r="B600">
        <v>3</v>
      </c>
      <c r="C600">
        <v>1</v>
      </c>
      <c r="D600">
        <v>10</v>
      </c>
      <c r="E600" t="s">
        <v>25</v>
      </c>
      <c r="F600">
        <v>200</v>
      </c>
      <c r="G600">
        <v>1</v>
      </c>
      <c r="H600">
        <v>20</v>
      </c>
      <c r="I600" t="s">
        <v>26</v>
      </c>
      <c r="J600" s="3">
        <v>835.86197800000002</v>
      </c>
      <c r="K600" s="3">
        <v>27233.46</v>
      </c>
      <c r="L600" s="3">
        <v>27233.46</v>
      </c>
      <c r="M600" s="3">
        <v>27233.46</v>
      </c>
      <c r="N600" s="3">
        <v>23577.938999999998</v>
      </c>
      <c r="O600" s="4">
        <v>15.504</v>
      </c>
      <c r="P600" s="4">
        <v>15.504</v>
      </c>
      <c r="Q600" s="4">
        <v>15.504</v>
      </c>
      <c r="R600" s="5">
        <v>2.0000000000000001E-4</v>
      </c>
      <c r="S600">
        <v>2</v>
      </c>
      <c r="T600" t="b">
        <v>0</v>
      </c>
      <c r="U600">
        <v>1</v>
      </c>
      <c r="V600" s="4">
        <v>1.19</v>
      </c>
    </row>
    <row r="601" spans="1:22" hidden="1" x14ac:dyDescent="0.35">
      <c r="A601" t="s">
        <v>27</v>
      </c>
      <c r="B601">
        <v>3</v>
      </c>
      <c r="C601">
        <v>1</v>
      </c>
      <c r="D601">
        <v>10</v>
      </c>
      <c r="E601" t="s">
        <v>25</v>
      </c>
      <c r="F601">
        <v>200</v>
      </c>
      <c r="G601">
        <v>3</v>
      </c>
      <c r="H601">
        <v>20</v>
      </c>
      <c r="I601" t="s">
        <v>26</v>
      </c>
      <c r="J601" s="3">
        <v>794.11324100000002</v>
      </c>
      <c r="K601" s="3" t="s">
        <v>24</v>
      </c>
      <c r="L601" s="3" t="s">
        <v>24</v>
      </c>
      <c r="M601" s="3" t="s">
        <v>24</v>
      </c>
      <c r="N601" s="3">
        <v>23577.938999999998</v>
      </c>
      <c r="O601" s="4"/>
      <c r="P601" s="4"/>
      <c r="Q601" s="4"/>
      <c r="R601" s="5">
        <v>0</v>
      </c>
      <c r="S601">
        <v>0</v>
      </c>
      <c r="T601" t="b">
        <v>1</v>
      </c>
      <c r="U601">
        <v>-1</v>
      </c>
      <c r="V601" s="4">
        <v>2.71</v>
      </c>
    </row>
    <row r="602" spans="1:22" hidden="1" x14ac:dyDescent="0.35">
      <c r="A602" t="s">
        <v>27</v>
      </c>
      <c r="B602">
        <v>3</v>
      </c>
      <c r="C602">
        <v>2</v>
      </c>
      <c r="D602">
        <v>2</v>
      </c>
      <c r="E602" t="s">
        <v>22</v>
      </c>
      <c r="F602">
        <v>50</v>
      </c>
      <c r="G602">
        <v>1</v>
      </c>
      <c r="H602">
        <v>20</v>
      </c>
      <c r="I602" t="s">
        <v>26</v>
      </c>
      <c r="J602" s="3">
        <v>65.920862999999997</v>
      </c>
      <c r="K602" s="3">
        <v>23577.938999999998</v>
      </c>
      <c r="L602" s="3">
        <v>23577.938999999998</v>
      </c>
      <c r="M602" s="3">
        <v>23577.938999999998</v>
      </c>
      <c r="N602" s="3">
        <v>23577.938999999998</v>
      </c>
      <c r="O602" s="4">
        <v>0</v>
      </c>
      <c r="P602" s="4">
        <v>0</v>
      </c>
      <c r="Q602" s="4">
        <v>0</v>
      </c>
      <c r="R602" s="5">
        <v>2.2000000000000001E-3</v>
      </c>
      <c r="S602">
        <v>9</v>
      </c>
      <c r="T602" t="b">
        <v>0</v>
      </c>
      <c r="U602">
        <v>1</v>
      </c>
      <c r="V602" s="4">
        <v>9.36</v>
      </c>
    </row>
    <row r="603" spans="1:22" hidden="1" x14ac:dyDescent="0.35">
      <c r="A603" t="s">
        <v>27</v>
      </c>
      <c r="B603">
        <v>3</v>
      </c>
      <c r="C603">
        <v>2</v>
      </c>
      <c r="D603">
        <v>2</v>
      </c>
      <c r="E603" t="s">
        <v>22</v>
      </c>
      <c r="F603">
        <v>50</v>
      </c>
      <c r="G603">
        <v>3</v>
      </c>
      <c r="H603">
        <v>20</v>
      </c>
      <c r="I603" t="s">
        <v>26</v>
      </c>
      <c r="J603" s="3">
        <v>58.068278999999997</v>
      </c>
      <c r="K603" s="3">
        <v>23577.938999999998</v>
      </c>
      <c r="L603" s="3">
        <v>27521.069</v>
      </c>
      <c r="M603" s="3">
        <v>23577.938999999998</v>
      </c>
      <c r="N603" s="3">
        <v>23577.938999999998</v>
      </c>
      <c r="O603" s="4">
        <v>0</v>
      </c>
      <c r="P603" s="4">
        <v>16.723800000000001</v>
      </c>
      <c r="Q603" s="4">
        <v>0</v>
      </c>
      <c r="R603" s="5">
        <v>4.7000000000000002E-3</v>
      </c>
      <c r="S603">
        <v>12</v>
      </c>
      <c r="T603" t="b">
        <v>0</v>
      </c>
      <c r="U603">
        <v>3</v>
      </c>
      <c r="V603" s="4">
        <v>28.81</v>
      </c>
    </row>
    <row r="604" spans="1:22" hidden="1" x14ac:dyDescent="0.35">
      <c r="A604" t="s">
        <v>27</v>
      </c>
      <c r="B604">
        <v>3</v>
      </c>
      <c r="C604">
        <v>2</v>
      </c>
      <c r="D604">
        <v>2</v>
      </c>
      <c r="E604" t="s">
        <v>22</v>
      </c>
      <c r="F604">
        <v>200</v>
      </c>
      <c r="G604">
        <v>1</v>
      </c>
      <c r="H604">
        <v>20</v>
      </c>
      <c r="I604" t="s">
        <v>26</v>
      </c>
      <c r="J604" s="3">
        <v>65.920862999999997</v>
      </c>
      <c r="K604" s="3">
        <v>23577.938999999998</v>
      </c>
      <c r="L604" s="3">
        <v>23577.938999999998</v>
      </c>
      <c r="M604" s="3">
        <v>23577.938999999998</v>
      </c>
      <c r="N604" s="3">
        <v>23577.938999999998</v>
      </c>
      <c r="O604" s="4">
        <v>0</v>
      </c>
      <c r="P604" s="4">
        <v>0</v>
      </c>
      <c r="Q604" s="4">
        <v>0</v>
      </c>
      <c r="R604" s="5">
        <v>2.2000000000000001E-3</v>
      </c>
      <c r="S604">
        <v>9</v>
      </c>
      <c r="T604" t="b">
        <v>0</v>
      </c>
      <c r="U604">
        <v>1</v>
      </c>
      <c r="V604" s="4">
        <v>9.76</v>
      </c>
    </row>
    <row r="605" spans="1:22" hidden="1" x14ac:dyDescent="0.35">
      <c r="A605" t="s">
        <v>27</v>
      </c>
      <c r="B605">
        <v>3</v>
      </c>
      <c r="C605">
        <v>2</v>
      </c>
      <c r="D605">
        <v>2</v>
      </c>
      <c r="E605" t="s">
        <v>22</v>
      </c>
      <c r="F605">
        <v>200</v>
      </c>
      <c r="G605">
        <v>3</v>
      </c>
      <c r="H605">
        <v>20</v>
      </c>
      <c r="I605" t="s">
        <v>26</v>
      </c>
      <c r="J605" s="3">
        <v>58.068278999999997</v>
      </c>
      <c r="K605" s="3">
        <v>23577.938999999998</v>
      </c>
      <c r="L605" s="3">
        <v>27521.069</v>
      </c>
      <c r="M605" s="3">
        <v>23577.938999999998</v>
      </c>
      <c r="N605" s="3">
        <v>23577.938999999998</v>
      </c>
      <c r="O605" s="4">
        <v>0</v>
      </c>
      <c r="P605" s="4">
        <v>16.723800000000001</v>
      </c>
      <c r="Q605" s="4">
        <v>0</v>
      </c>
      <c r="R605" s="5">
        <v>4.7000000000000002E-3</v>
      </c>
      <c r="S605">
        <v>12</v>
      </c>
      <c r="T605" t="b">
        <v>0</v>
      </c>
      <c r="U605">
        <v>3</v>
      </c>
      <c r="V605" s="4">
        <v>28.69</v>
      </c>
    </row>
    <row r="606" spans="1:22" hidden="1" x14ac:dyDescent="0.35">
      <c r="A606" t="s">
        <v>27</v>
      </c>
      <c r="B606">
        <v>3</v>
      </c>
      <c r="C606">
        <v>2</v>
      </c>
      <c r="D606">
        <v>2</v>
      </c>
      <c r="E606" t="s">
        <v>25</v>
      </c>
      <c r="F606">
        <v>50</v>
      </c>
      <c r="G606">
        <v>1</v>
      </c>
      <c r="H606">
        <v>20</v>
      </c>
      <c r="I606" t="s">
        <v>26</v>
      </c>
      <c r="J606" s="3">
        <v>164.50403</v>
      </c>
      <c r="K606" s="3">
        <v>27233.46</v>
      </c>
      <c r="L606" s="3">
        <v>27233.46</v>
      </c>
      <c r="M606" s="3">
        <v>27233.46</v>
      </c>
      <c r="N606" s="3">
        <v>23577.938999999998</v>
      </c>
      <c r="O606" s="4">
        <v>15.504</v>
      </c>
      <c r="P606" s="4">
        <v>15.504</v>
      </c>
      <c r="Q606" s="4">
        <v>15.504</v>
      </c>
      <c r="R606" s="5">
        <v>1E-4</v>
      </c>
      <c r="S606">
        <v>1</v>
      </c>
      <c r="T606" t="b">
        <v>0</v>
      </c>
      <c r="U606">
        <v>1</v>
      </c>
      <c r="V606" s="4">
        <v>1.93</v>
      </c>
    </row>
    <row r="607" spans="1:22" hidden="1" x14ac:dyDescent="0.35">
      <c r="A607" t="s">
        <v>27</v>
      </c>
      <c r="B607">
        <v>3</v>
      </c>
      <c r="C607">
        <v>2</v>
      </c>
      <c r="D607">
        <v>2</v>
      </c>
      <c r="E607" t="s">
        <v>25</v>
      </c>
      <c r="F607">
        <v>50</v>
      </c>
      <c r="G607">
        <v>3</v>
      </c>
      <c r="H607">
        <v>20</v>
      </c>
      <c r="I607" t="s">
        <v>26</v>
      </c>
      <c r="J607" s="3">
        <v>142.88929899999999</v>
      </c>
      <c r="K607" s="3">
        <v>23577.938999999998</v>
      </c>
      <c r="L607" s="3">
        <v>27233.46</v>
      </c>
      <c r="M607" s="3">
        <v>23577.938999999998</v>
      </c>
      <c r="N607" s="3">
        <v>23577.938999999998</v>
      </c>
      <c r="O607" s="4">
        <v>0</v>
      </c>
      <c r="P607" s="4">
        <v>15.504</v>
      </c>
      <c r="Q607" s="4">
        <v>0</v>
      </c>
      <c r="R607" s="5">
        <v>1.5E-3</v>
      </c>
      <c r="S607">
        <v>8</v>
      </c>
      <c r="T607" t="b">
        <v>0</v>
      </c>
      <c r="U607">
        <v>4</v>
      </c>
      <c r="V607" s="4">
        <v>4.76</v>
      </c>
    </row>
    <row r="608" spans="1:22" hidden="1" x14ac:dyDescent="0.35">
      <c r="A608" t="s">
        <v>27</v>
      </c>
      <c r="B608">
        <v>3</v>
      </c>
      <c r="C608">
        <v>2</v>
      </c>
      <c r="D608">
        <v>2</v>
      </c>
      <c r="E608" t="s">
        <v>25</v>
      </c>
      <c r="F608">
        <v>200</v>
      </c>
      <c r="G608">
        <v>1</v>
      </c>
      <c r="H608">
        <v>20</v>
      </c>
      <c r="I608" t="s">
        <v>26</v>
      </c>
      <c r="J608" s="3">
        <v>164.50403</v>
      </c>
      <c r="K608" s="3">
        <v>27233.46</v>
      </c>
      <c r="L608" s="3">
        <v>27233.46</v>
      </c>
      <c r="M608" s="3">
        <v>27233.46</v>
      </c>
      <c r="N608" s="3">
        <v>23577.938999999998</v>
      </c>
      <c r="O608" s="4">
        <v>15.504</v>
      </c>
      <c r="P608" s="4">
        <v>15.504</v>
      </c>
      <c r="Q608" s="4">
        <v>15.504</v>
      </c>
      <c r="R608" s="5">
        <v>1E-4</v>
      </c>
      <c r="S608">
        <v>1</v>
      </c>
      <c r="T608" t="b">
        <v>0</v>
      </c>
      <c r="U608">
        <v>1</v>
      </c>
      <c r="V608" s="4">
        <v>2.0699999999999998</v>
      </c>
    </row>
    <row r="609" spans="1:22" hidden="1" x14ac:dyDescent="0.35">
      <c r="A609" t="s">
        <v>27</v>
      </c>
      <c r="B609">
        <v>3</v>
      </c>
      <c r="C609">
        <v>2</v>
      </c>
      <c r="D609">
        <v>2</v>
      </c>
      <c r="E609" t="s">
        <v>25</v>
      </c>
      <c r="F609">
        <v>200</v>
      </c>
      <c r="G609">
        <v>3</v>
      </c>
      <c r="H609">
        <v>20</v>
      </c>
      <c r="I609" t="s">
        <v>26</v>
      </c>
      <c r="J609" s="3">
        <v>142.88929899999999</v>
      </c>
      <c r="K609" s="3">
        <v>23577.938999999998</v>
      </c>
      <c r="L609" s="3">
        <v>27233.46</v>
      </c>
      <c r="M609" s="3">
        <v>23577.938999999998</v>
      </c>
      <c r="N609" s="3">
        <v>23577.938999999998</v>
      </c>
      <c r="O609" s="4">
        <v>0</v>
      </c>
      <c r="P609" s="4">
        <v>15.504</v>
      </c>
      <c r="Q609" s="4">
        <v>0</v>
      </c>
      <c r="R609" s="5">
        <v>1.5E-3</v>
      </c>
      <c r="S609">
        <v>8</v>
      </c>
      <c r="T609" t="b">
        <v>0</v>
      </c>
      <c r="U609">
        <v>4</v>
      </c>
      <c r="V609" s="4">
        <v>4.76</v>
      </c>
    </row>
    <row r="610" spans="1:22" hidden="1" x14ac:dyDescent="0.35">
      <c r="A610" t="s">
        <v>27</v>
      </c>
      <c r="B610">
        <v>3</v>
      </c>
      <c r="C610">
        <v>2</v>
      </c>
      <c r="D610">
        <v>5</v>
      </c>
      <c r="E610" t="s">
        <v>22</v>
      </c>
      <c r="F610">
        <v>50</v>
      </c>
      <c r="G610">
        <v>1</v>
      </c>
      <c r="H610">
        <v>20</v>
      </c>
      <c r="I610" t="s">
        <v>26</v>
      </c>
      <c r="J610" s="3">
        <v>154.399663</v>
      </c>
      <c r="K610" s="3">
        <v>23577.938999999998</v>
      </c>
      <c r="L610" s="3">
        <v>27637.697</v>
      </c>
      <c r="M610" s="3">
        <v>23577.938999999998</v>
      </c>
      <c r="N610" s="3">
        <v>23577.938999999998</v>
      </c>
      <c r="O610" s="4">
        <v>0</v>
      </c>
      <c r="P610" s="4">
        <v>17.218499999999999</v>
      </c>
      <c r="Q610" s="4">
        <v>0</v>
      </c>
      <c r="R610" s="5">
        <v>3.8E-3</v>
      </c>
      <c r="S610">
        <v>11</v>
      </c>
      <c r="T610" t="b">
        <v>0</v>
      </c>
      <c r="U610">
        <v>6</v>
      </c>
      <c r="V610" s="4">
        <v>10.78</v>
      </c>
    </row>
    <row r="611" spans="1:22" hidden="1" x14ac:dyDescent="0.35">
      <c r="A611" t="s">
        <v>27</v>
      </c>
      <c r="B611">
        <v>3</v>
      </c>
      <c r="C611">
        <v>2</v>
      </c>
      <c r="D611">
        <v>5</v>
      </c>
      <c r="E611" t="s">
        <v>22</v>
      </c>
      <c r="F611">
        <v>50</v>
      </c>
      <c r="G611">
        <v>3</v>
      </c>
      <c r="H611">
        <v>20</v>
      </c>
      <c r="I611" t="s">
        <v>26</v>
      </c>
      <c r="J611" s="3">
        <v>139.19744800000001</v>
      </c>
      <c r="K611" s="3">
        <v>23577.938999999998</v>
      </c>
      <c r="L611" s="3">
        <v>25440.276000000002</v>
      </c>
      <c r="M611" s="3">
        <v>23577.938999999998</v>
      </c>
      <c r="N611" s="3">
        <v>23577.938999999998</v>
      </c>
      <c r="O611" s="4">
        <v>0</v>
      </c>
      <c r="P611" s="4">
        <v>7.8986000000000001</v>
      </c>
      <c r="Q611" s="4">
        <v>0</v>
      </c>
      <c r="R611" s="5">
        <v>4.1000000000000003E-3</v>
      </c>
      <c r="S611">
        <v>11</v>
      </c>
      <c r="T611" t="b">
        <v>0</v>
      </c>
      <c r="U611">
        <v>10</v>
      </c>
      <c r="V611" s="4">
        <v>32.24</v>
      </c>
    </row>
    <row r="612" spans="1:22" hidden="1" x14ac:dyDescent="0.35">
      <c r="A612" t="s">
        <v>27</v>
      </c>
      <c r="B612">
        <v>3</v>
      </c>
      <c r="C612">
        <v>2</v>
      </c>
      <c r="D612">
        <v>5</v>
      </c>
      <c r="E612" t="s">
        <v>22</v>
      </c>
      <c r="F612">
        <v>200</v>
      </c>
      <c r="G612">
        <v>1</v>
      </c>
      <c r="H612">
        <v>20</v>
      </c>
      <c r="I612" t="s">
        <v>26</v>
      </c>
      <c r="J612" s="3">
        <v>154.399663</v>
      </c>
      <c r="K612" s="3">
        <v>23577.938999999998</v>
      </c>
      <c r="L612" s="3">
        <v>27637.697</v>
      </c>
      <c r="M612" s="3">
        <v>23577.938999999998</v>
      </c>
      <c r="N612" s="3">
        <v>23577.938999999998</v>
      </c>
      <c r="O612" s="4">
        <v>0</v>
      </c>
      <c r="P612" s="4">
        <v>17.218499999999999</v>
      </c>
      <c r="Q612" s="4">
        <v>0</v>
      </c>
      <c r="R612" s="5">
        <v>3.8E-3</v>
      </c>
      <c r="S612">
        <v>11</v>
      </c>
      <c r="T612" t="b">
        <v>0</v>
      </c>
      <c r="U612">
        <v>6</v>
      </c>
      <c r="V612" s="4">
        <v>10.85</v>
      </c>
    </row>
    <row r="613" spans="1:22" hidden="1" x14ac:dyDescent="0.35">
      <c r="A613" t="s">
        <v>27</v>
      </c>
      <c r="B613">
        <v>3</v>
      </c>
      <c r="C613">
        <v>2</v>
      </c>
      <c r="D613">
        <v>5</v>
      </c>
      <c r="E613" t="s">
        <v>22</v>
      </c>
      <c r="F613">
        <v>200</v>
      </c>
      <c r="G613">
        <v>3</v>
      </c>
      <c r="H613">
        <v>20</v>
      </c>
      <c r="I613" t="s">
        <v>26</v>
      </c>
      <c r="J613" s="3">
        <v>139.19744800000001</v>
      </c>
      <c r="K613" s="3">
        <v>23577.938999999998</v>
      </c>
      <c r="L613" s="3">
        <v>25440.276000000002</v>
      </c>
      <c r="M613" s="3">
        <v>23577.938999999998</v>
      </c>
      <c r="N613" s="3">
        <v>23577.938999999998</v>
      </c>
      <c r="O613" s="4">
        <v>0</v>
      </c>
      <c r="P613" s="4">
        <v>7.8986000000000001</v>
      </c>
      <c r="Q613" s="4">
        <v>0</v>
      </c>
      <c r="R613" s="5">
        <v>4.1000000000000003E-3</v>
      </c>
      <c r="S613">
        <v>11</v>
      </c>
      <c r="T613" t="b">
        <v>0</v>
      </c>
      <c r="U613">
        <v>10</v>
      </c>
      <c r="V613" s="4">
        <v>32.25</v>
      </c>
    </row>
    <row r="614" spans="1:22" hidden="1" x14ac:dyDescent="0.35">
      <c r="A614" t="s">
        <v>27</v>
      </c>
      <c r="B614">
        <v>3</v>
      </c>
      <c r="C614">
        <v>2</v>
      </c>
      <c r="D614">
        <v>5</v>
      </c>
      <c r="E614" t="s">
        <v>25</v>
      </c>
      <c r="F614">
        <v>50</v>
      </c>
      <c r="G614">
        <v>1</v>
      </c>
      <c r="H614">
        <v>20</v>
      </c>
      <c r="I614" t="s">
        <v>26</v>
      </c>
      <c r="J614" s="3">
        <v>404.66293000000002</v>
      </c>
      <c r="K614" s="3" t="s">
        <v>24</v>
      </c>
      <c r="L614" s="3" t="s">
        <v>24</v>
      </c>
      <c r="M614" s="3" t="s">
        <v>24</v>
      </c>
      <c r="N614" s="3">
        <v>23577.938999999998</v>
      </c>
      <c r="O614" s="4"/>
      <c r="P614" s="4"/>
      <c r="Q614" s="4"/>
      <c r="R614" s="5">
        <v>0</v>
      </c>
      <c r="S614">
        <v>0</v>
      </c>
      <c r="T614" t="b">
        <v>1</v>
      </c>
      <c r="U614">
        <v>-1</v>
      </c>
      <c r="V614" s="4">
        <v>1.92</v>
      </c>
    </row>
    <row r="615" spans="1:22" hidden="1" x14ac:dyDescent="0.35">
      <c r="A615" t="s">
        <v>27</v>
      </c>
      <c r="B615">
        <v>3</v>
      </c>
      <c r="C615">
        <v>2</v>
      </c>
      <c r="D615">
        <v>5</v>
      </c>
      <c r="E615" t="s">
        <v>25</v>
      </c>
      <c r="F615">
        <v>50</v>
      </c>
      <c r="G615">
        <v>3</v>
      </c>
      <c r="H615">
        <v>20</v>
      </c>
      <c r="I615" t="s">
        <v>26</v>
      </c>
      <c r="J615" s="3">
        <v>322.07204000000002</v>
      </c>
      <c r="K615" s="3">
        <v>23577.938999999998</v>
      </c>
      <c r="L615" s="3">
        <v>27521.069</v>
      </c>
      <c r="M615" s="3">
        <v>23577.938999999998</v>
      </c>
      <c r="N615" s="3">
        <v>23577.938999999998</v>
      </c>
      <c r="O615" s="4">
        <v>0</v>
      </c>
      <c r="P615" s="4">
        <v>16.723800000000001</v>
      </c>
      <c r="Q615" s="4">
        <v>0</v>
      </c>
      <c r="R615" s="5">
        <v>2.8E-3</v>
      </c>
      <c r="S615">
        <v>11</v>
      </c>
      <c r="T615" t="b">
        <v>0</v>
      </c>
      <c r="U615">
        <v>7</v>
      </c>
      <c r="V615" s="4">
        <v>4.82</v>
      </c>
    </row>
    <row r="616" spans="1:22" hidden="1" x14ac:dyDescent="0.35">
      <c r="A616" t="s">
        <v>27</v>
      </c>
      <c r="B616">
        <v>3</v>
      </c>
      <c r="C616">
        <v>2</v>
      </c>
      <c r="D616">
        <v>5</v>
      </c>
      <c r="E616" t="s">
        <v>25</v>
      </c>
      <c r="F616">
        <v>200</v>
      </c>
      <c r="G616">
        <v>1</v>
      </c>
      <c r="H616">
        <v>20</v>
      </c>
      <c r="I616" t="s">
        <v>26</v>
      </c>
      <c r="J616" s="3">
        <v>404.66293000000002</v>
      </c>
      <c r="K616" s="3" t="s">
        <v>24</v>
      </c>
      <c r="L616" s="3" t="s">
        <v>24</v>
      </c>
      <c r="M616" s="3" t="s">
        <v>24</v>
      </c>
      <c r="N616" s="3">
        <v>23577.938999999998</v>
      </c>
      <c r="O616" s="4"/>
      <c r="P616" s="4"/>
      <c r="Q616" s="4"/>
      <c r="R616" s="5">
        <v>0</v>
      </c>
      <c r="S616">
        <v>0</v>
      </c>
      <c r="T616" t="b">
        <v>1</v>
      </c>
      <c r="U616">
        <v>-1</v>
      </c>
      <c r="V616" s="4">
        <v>1.91</v>
      </c>
    </row>
    <row r="617" spans="1:22" hidden="1" x14ac:dyDescent="0.35">
      <c r="A617" t="s">
        <v>27</v>
      </c>
      <c r="B617">
        <v>3</v>
      </c>
      <c r="C617">
        <v>2</v>
      </c>
      <c r="D617">
        <v>5</v>
      </c>
      <c r="E617" t="s">
        <v>25</v>
      </c>
      <c r="F617">
        <v>200</v>
      </c>
      <c r="G617">
        <v>3</v>
      </c>
      <c r="H617">
        <v>20</v>
      </c>
      <c r="I617" t="s">
        <v>26</v>
      </c>
      <c r="J617" s="3">
        <v>322.07204000000002</v>
      </c>
      <c r="K617" s="3">
        <v>23577.938999999998</v>
      </c>
      <c r="L617" s="3">
        <v>27521.069</v>
      </c>
      <c r="M617" s="3">
        <v>23577.938999999998</v>
      </c>
      <c r="N617" s="3">
        <v>23577.938999999998</v>
      </c>
      <c r="O617" s="4">
        <v>0</v>
      </c>
      <c r="P617" s="4">
        <v>16.723800000000001</v>
      </c>
      <c r="Q617" s="4">
        <v>0</v>
      </c>
      <c r="R617" s="5">
        <v>2.8E-3</v>
      </c>
      <c r="S617">
        <v>11</v>
      </c>
      <c r="T617" t="b">
        <v>0</v>
      </c>
      <c r="U617">
        <v>7</v>
      </c>
      <c r="V617" s="4">
        <v>4.95</v>
      </c>
    </row>
    <row r="618" spans="1:22" hidden="1" x14ac:dyDescent="0.35">
      <c r="A618" t="s">
        <v>27</v>
      </c>
      <c r="B618">
        <v>3</v>
      </c>
      <c r="C618">
        <v>2</v>
      </c>
      <c r="D618">
        <v>10</v>
      </c>
      <c r="E618" t="s">
        <v>22</v>
      </c>
      <c r="F618">
        <v>50</v>
      </c>
      <c r="G618">
        <v>1</v>
      </c>
      <c r="H618">
        <v>20</v>
      </c>
      <c r="I618" t="s">
        <v>26</v>
      </c>
      <c r="J618" s="3">
        <v>295.00344200000001</v>
      </c>
      <c r="K618" s="3">
        <v>23577.938999999998</v>
      </c>
      <c r="L618" s="3">
        <v>25440.276000000002</v>
      </c>
      <c r="M618" s="3">
        <v>23577.938999999998</v>
      </c>
      <c r="N618" s="3">
        <v>23577.938999999998</v>
      </c>
      <c r="O618" s="4">
        <v>0</v>
      </c>
      <c r="P618" s="4">
        <v>7.8986000000000001</v>
      </c>
      <c r="Q618" s="4">
        <v>0</v>
      </c>
      <c r="R618" s="5">
        <v>3.7000000000000002E-3</v>
      </c>
      <c r="S618">
        <v>12</v>
      </c>
      <c r="T618" t="b">
        <v>0</v>
      </c>
      <c r="U618">
        <v>3</v>
      </c>
      <c r="V618" s="4">
        <v>9.57</v>
      </c>
    </row>
    <row r="619" spans="1:22" hidden="1" x14ac:dyDescent="0.35">
      <c r="A619" t="s">
        <v>27</v>
      </c>
      <c r="B619">
        <v>3</v>
      </c>
      <c r="C619">
        <v>2</v>
      </c>
      <c r="D619">
        <v>10</v>
      </c>
      <c r="E619" t="s">
        <v>22</v>
      </c>
      <c r="F619">
        <v>50</v>
      </c>
      <c r="G619">
        <v>3</v>
      </c>
      <c r="H619">
        <v>20</v>
      </c>
      <c r="I619" t="s">
        <v>26</v>
      </c>
      <c r="J619" s="3">
        <v>234.780416</v>
      </c>
      <c r="K619" s="3">
        <v>23577.938999999998</v>
      </c>
      <c r="L619" s="3">
        <v>25501.078000000001</v>
      </c>
      <c r="M619" s="3">
        <v>23577.938999999998</v>
      </c>
      <c r="N619" s="3">
        <v>23577.938999999998</v>
      </c>
      <c r="O619" s="4">
        <v>0</v>
      </c>
      <c r="P619" s="4">
        <v>8.1564999999999994</v>
      </c>
      <c r="Q619" s="4">
        <v>0</v>
      </c>
      <c r="R619" s="5">
        <v>8.6999999999999994E-3</v>
      </c>
      <c r="S619">
        <v>12</v>
      </c>
      <c r="T619" t="b">
        <v>0</v>
      </c>
      <c r="U619">
        <v>3</v>
      </c>
      <c r="V619" s="4">
        <v>33.65</v>
      </c>
    </row>
    <row r="620" spans="1:22" hidden="1" x14ac:dyDescent="0.35">
      <c r="A620" t="s">
        <v>27</v>
      </c>
      <c r="B620">
        <v>3</v>
      </c>
      <c r="C620">
        <v>2</v>
      </c>
      <c r="D620">
        <v>10</v>
      </c>
      <c r="E620" t="s">
        <v>22</v>
      </c>
      <c r="F620">
        <v>200</v>
      </c>
      <c r="G620">
        <v>1</v>
      </c>
      <c r="H620">
        <v>20</v>
      </c>
      <c r="I620" t="s">
        <v>26</v>
      </c>
      <c r="J620" s="3">
        <v>295.00344200000001</v>
      </c>
      <c r="K620" s="3">
        <v>23577.938999999998</v>
      </c>
      <c r="L620" s="3">
        <v>25440.276000000002</v>
      </c>
      <c r="M620" s="3">
        <v>23577.938999999998</v>
      </c>
      <c r="N620" s="3">
        <v>23577.938999999998</v>
      </c>
      <c r="O620" s="4">
        <v>0</v>
      </c>
      <c r="P620" s="4">
        <v>7.8986000000000001</v>
      </c>
      <c r="Q620" s="4">
        <v>0</v>
      </c>
      <c r="R620" s="5">
        <v>3.7000000000000002E-3</v>
      </c>
      <c r="S620">
        <v>12</v>
      </c>
      <c r="T620" t="b">
        <v>0</v>
      </c>
      <c r="U620">
        <v>3</v>
      </c>
      <c r="V620" s="4">
        <v>9.73</v>
      </c>
    </row>
    <row r="621" spans="1:22" hidden="1" x14ac:dyDescent="0.35">
      <c r="A621" t="s">
        <v>27</v>
      </c>
      <c r="B621">
        <v>3</v>
      </c>
      <c r="C621">
        <v>2</v>
      </c>
      <c r="D621">
        <v>10</v>
      </c>
      <c r="E621" t="s">
        <v>22</v>
      </c>
      <c r="F621">
        <v>200</v>
      </c>
      <c r="G621">
        <v>3</v>
      </c>
      <c r="H621">
        <v>20</v>
      </c>
      <c r="I621" t="s">
        <v>26</v>
      </c>
      <c r="J621" s="3">
        <v>234.780416</v>
      </c>
      <c r="K621" s="3">
        <v>23577.938999999998</v>
      </c>
      <c r="L621" s="3">
        <v>25501.078000000001</v>
      </c>
      <c r="M621" s="3">
        <v>23577.938999999998</v>
      </c>
      <c r="N621" s="3">
        <v>23577.938999999998</v>
      </c>
      <c r="O621" s="4">
        <v>0</v>
      </c>
      <c r="P621" s="4">
        <v>8.1564999999999994</v>
      </c>
      <c r="Q621" s="4">
        <v>0</v>
      </c>
      <c r="R621" s="5">
        <v>8.6999999999999994E-3</v>
      </c>
      <c r="S621">
        <v>12</v>
      </c>
      <c r="T621" t="b">
        <v>0</v>
      </c>
      <c r="U621">
        <v>3</v>
      </c>
      <c r="V621" s="4">
        <v>33.630000000000003</v>
      </c>
    </row>
    <row r="622" spans="1:22" hidden="1" x14ac:dyDescent="0.35">
      <c r="A622" t="s">
        <v>27</v>
      </c>
      <c r="B622">
        <v>3</v>
      </c>
      <c r="C622">
        <v>2</v>
      </c>
      <c r="D622">
        <v>10</v>
      </c>
      <c r="E622" t="s">
        <v>25</v>
      </c>
      <c r="F622">
        <v>50</v>
      </c>
      <c r="G622">
        <v>1</v>
      </c>
      <c r="H622">
        <v>20</v>
      </c>
      <c r="I622" t="s">
        <v>26</v>
      </c>
      <c r="J622" s="3">
        <v>808.25825399999997</v>
      </c>
      <c r="K622" s="3" t="s">
        <v>24</v>
      </c>
      <c r="L622" s="3" t="s">
        <v>24</v>
      </c>
      <c r="M622" s="3" t="s">
        <v>24</v>
      </c>
      <c r="N622" s="3">
        <v>23577.938999999998</v>
      </c>
      <c r="O622" s="4"/>
      <c r="P622" s="4"/>
      <c r="Q622" s="4"/>
      <c r="R622" s="5">
        <v>0</v>
      </c>
      <c r="S622">
        <v>0</v>
      </c>
      <c r="T622" t="b">
        <v>1</v>
      </c>
      <c r="U622">
        <v>-1</v>
      </c>
      <c r="V622" s="4">
        <v>1.97</v>
      </c>
    </row>
    <row r="623" spans="1:22" hidden="1" x14ac:dyDescent="0.35">
      <c r="A623" t="s">
        <v>27</v>
      </c>
      <c r="B623">
        <v>3</v>
      </c>
      <c r="C623">
        <v>2</v>
      </c>
      <c r="D623">
        <v>10</v>
      </c>
      <c r="E623" t="s">
        <v>25</v>
      </c>
      <c r="F623">
        <v>50</v>
      </c>
      <c r="G623">
        <v>3</v>
      </c>
      <c r="H623">
        <v>20</v>
      </c>
      <c r="I623" t="s">
        <v>26</v>
      </c>
      <c r="J623" s="3">
        <v>615.70577100000003</v>
      </c>
      <c r="K623" s="3">
        <v>23577.938999999998</v>
      </c>
      <c r="L623" s="3">
        <v>25501.078000000001</v>
      </c>
      <c r="M623" s="3">
        <v>23577.938999999998</v>
      </c>
      <c r="N623" s="3">
        <v>23577.938999999998</v>
      </c>
      <c r="O623" s="4">
        <v>0</v>
      </c>
      <c r="P623" s="4">
        <v>8.1564999999999994</v>
      </c>
      <c r="Q623" s="4">
        <v>0</v>
      </c>
      <c r="R623" s="5">
        <v>2.3E-3</v>
      </c>
      <c r="S623">
        <v>11</v>
      </c>
      <c r="T623" t="b">
        <v>0</v>
      </c>
      <c r="U623">
        <v>9</v>
      </c>
      <c r="V623" s="4">
        <v>4.7699999999999996</v>
      </c>
    </row>
    <row r="624" spans="1:22" hidden="1" x14ac:dyDescent="0.35">
      <c r="A624" t="s">
        <v>27</v>
      </c>
      <c r="B624">
        <v>3</v>
      </c>
      <c r="C624">
        <v>2</v>
      </c>
      <c r="D624">
        <v>10</v>
      </c>
      <c r="E624" t="s">
        <v>25</v>
      </c>
      <c r="F624">
        <v>200</v>
      </c>
      <c r="G624">
        <v>1</v>
      </c>
      <c r="H624">
        <v>20</v>
      </c>
      <c r="I624" t="s">
        <v>26</v>
      </c>
      <c r="J624" s="3">
        <v>808.25825399999997</v>
      </c>
      <c r="K624" s="3" t="s">
        <v>24</v>
      </c>
      <c r="L624" s="3" t="s">
        <v>24</v>
      </c>
      <c r="M624" s="3" t="s">
        <v>24</v>
      </c>
      <c r="N624" s="3">
        <v>23577.938999999998</v>
      </c>
      <c r="O624" s="4"/>
      <c r="P624" s="4"/>
      <c r="Q624" s="4"/>
      <c r="R624" s="5">
        <v>0</v>
      </c>
      <c r="S624">
        <v>0</v>
      </c>
      <c r="T624" t="b">
        <v>1</v>
      </c>
      <c r="U624">
        <v>-1</v>
      </c>
      <c r="V624" s="4">
        <v>1.91</v>
      </c>
    </row>
    <row r="625" spans="1:22" hidden="1" x14ac:dyDescent="0.35">
      <c r="A625" t="s">
        <v>27</v>
      </c>
      <c r="B625">
        <v>3</v>
      </c>
      <c r="C625">
        <v>2</v>
      </c>
      <c r="D625">
        <v>10</v>
      </c>
      <c r="E625" t="s">
        <v>25</v>
      </c>
      <c r="F625">
        <v>200</v>
      </c>
      <c r="G625">
        <v>3</v>
      </c>
      <c r="H625">
        <v>20</v>
      </c>
      <c r="I625" t="s">
        <v>26</v>
      </c>
      <c r="J625" s="3">
        <v>615.70577100000003</v>
      </c>
      <c r="K625" s="3">
        <v>23577.938999999998</v>
      </c>
      <c r="L625" s="3">
        <v>25501.078000000001</v>
      </c>
      <c r="M625" s="3">
        <v>23577.938999999998</v>
      </c>
      <c r="N625" s="3">
        <v>23577.938999999998</v>
      </c>
      <c r="O625" s="4">
        <v>0</v>
      </c>
      <c r="P625" s="4">
        <v>8.1564999999999994</v>
      </c>
      <c r="Q625" s="4">
        <v>0</v>
      </c>
      <c r="R625" s="5">
        <v>2.3E-3</v>
      </c>
      <c r="S625">
        <v>11</v>
      </c>
      <c r="T625" t="b">
        <v>0</v>
      </c>
      <c r="U625">
        <v>9</v>
      </c>
      <c r="V625" s="4">
        <v>4.72</v>
      </c>
    </row>
    <row r="626" spans="1:22" hidden="1" x14ac:dyDescent="0.35">
      <c r="A626" t="s">
        <v>27</v>
      </c>
      <c r="B626">
        <v>3</v>
      </c>
      <c r="C626">
        <v>3</v>
      </c>
      <c r="D626">
        <v>2</v>
      </c>
      <c r="E626" t="s">
        <v>22</v>
      </c>
      <c r="F626">
        <v>50</v>
      </c>
      <c r="G626">
        <v>1</v>
      </c>
      <c r="H626">
        <v>20</v>
      </c>
      <c r="I626" t="s">
        <v>26</v>
      </c>
      <c r="J626" s="3">
        <v>58.526387</v>
      </c>
      <c r="K626" s="3">
        <v>23577.938999999998</v>
      </c>
      <c r="L626" s="3">
        <v>25501.078000000001</v>
      </c>
      <c r="M626" s="3">
        <v>23577.938999999998</v>
      </c>
      <c r="N626" s="3">
        <v>23577.938999999998</v>
      </c>
      <c r="O626" s="4">
        <v>0</v>
      </c>
      <c r="P626" s="4">
        <v>8.1564999999999994</v>
      </c>
      <c r="Q626" s="4">
        <v>0</v>
      </c>
      <c r="R626" s="5">
        <v>2.4799999999999999E-2</v>
      </c>
      <c r="S626">
        <v>12</v>
      </c>
      <c r="T626" t="b">
        <v>0</v>
      </c>
      <c r="U626">
        <v>3</v>
      </c>
      <c r="V626" s="4">
        <v>14.89</v>
      </c>
    </row>
    <row r="627" spans="1:22" hidden="1" x14ac:dyDescent="0.35">
      <c r="A627" t="s">
        <v>27</v>
      </c>
      <c r="B627">
        <v>3</v>
      </c>
      <c r="C627">
        <v>3</v>
      </c>
      <c r="D627">
        <v>2</v>
      </c>
      <c r="E627" t="s">
        <v>22</v>
      </c>
      <c r="F627">
        <v>50</v>
      </c>
      <c r="G627">
        <v>3</v>
      </c>
      <c r="H627">
        <v>20</v>
      </c>
      <c r="I627" t="s">
        <v>26</v>
      </c>
      <c r="J627" s="3">
        <v>58.526387</v>
      </c>
      <c r="K627" s="3">
        <v>23577.938999999998</v>
      </c>
      <c r="L627" s="3">
        <v>25501.078000000001</v>
      </c>
      <c r="M627" s="3">
        <v>23577.938999999998</v>
      </c>
      <c r="N627" s="3">
        <v>23577.938999999998</v>
      </c>
      <c r="O627" s="4">
        <v>0</v>
      </c>
      <c r="P627" s="4">
        <v>8.1564999999999994</v>
      </c>
      <c r="Q627" s="4">
        <v>0</v>
      </c>
      <c r="R627" s="5">
        <v>2.4799999999999999E-2</v>
      </c>
      <c r="S627">
        <v>12</v>
      </c>
      <c r="T627" t="b">
        <v>0</v>
      </c>
      <c r="U627">
        <v>3</v>
      </c>
      <c r="V627" s="4">
        <v>43.59</v>
      </c>
    </row>
    <row r="628" spans="1:22" hidden="1" x14ac:dyDescent="0.35">
      <c r="A628" t="s">
        <v>27</v>
      </c>
      <c r="B628">
        <v>3</v>
      </c>
      <c r="C628">
        <v>3</v>
      </c>
      <c r="D628">
        <v>2</v>
      </c>
      <c r="E628" t="s">
        <v>22</v>
      </c>
      <c r="F628">
        <v>200</v>
      </c>
      <c r="G628">
        <v>1</v>
      </c>
      <c r="H628">
        <v>20</v>
      </c>
      <c r="I628" t="s">
        <v>26</v>
      </c>
      <c r="J628" s="3">
        <v>57.861567999999998</v>
      </c>
      <c r="K628" s="3">
        <v>23577.938999999998</v>
      </c>
      <c r="L628" s="3">
        <v>25501.078000000001</v>
      </c>
      <c r="M628" s="3">
        <v>23577.938999999998</v>
      </c>
      <c r="N628" s="3">
        <v>23577.938999999998</v>
      </c>
      <c r="O628" s="4">
        <v>0</v>
      </c>
      <c r="P628" s="4">
        <v>8.1564999999999994</v>
      </c>
      <c r="Q628" s="4">
        <v>0</v>
      </c>
      <c r="R628" s="5">
        <v>2.4899999999999999E-2</v>
      </c>
      <c r="S628">
        <v>12</v>
      </c>
      <c r="T628" t="b">
        <v>0</v>
      </c>
      <c r="U628">
        <v>3</v>
      </c>
      <c r="V628" s="4">
        <v>16.71</v>
      </c>
    </row>
    <row r="629" spans="1:22" hidden="1" x14ac:dyDescent="0.35">
      <c r="A629" t="s">
        <v>27</v>
      </c>
      <c r="B629">
        <v>3</v>
      </c>
      <c r="C629">
        <v>3</v>
      </c>
      <c r="D629">
        <v>2</v>
      </c>
      <c r="E629" t="s">
        <v>22</v>
      </c>
      <c r="F629">
        <v>200</v>
      </c>
      <c r="G629">
        <v>3</v>
      </c>
      <c r="H629">
        <v>20</v>
      </c>
      <c r="I629" t="s">
        <v>26</v>
      </c>
      <c r="J629" s="3">
        <v>57.861567999999998</v>
      </c>
      <c r="K629" s="3">
        <v>23577.938999999998</v>
      </c>
      <c r="L629" s="3">
        <v>25501.078000000001</v>
      </c>
      <c r="M629" s="3">
        <v>23577.938999999998</v>
      </c>
      <c r="N629" s="3">
        <v>23577.938999999998</v>
      </c>
      <c r="O629" s="4">
        <v>0</v>
      </c>
      <c r="P629" s="4">
        <v>8.1564999999999994</v>
      </c>
      <c r="Q629" s="4">
        <v>0</v>
      </c>
      <c r="R629" s="5">
        <v>2.4899999999999999E-2</v>
      </c>
      <c r="S629">
        <v>12</v>
      </c>
      <c r="T629" t="b">
        <v>0</v>
      </c>
      <c r="U629">
        <v>3</v>
      </c>
      <c r="V629" s="4">
        <v>52.06</v>
      </c>
    </row>
    <row r="630" spans="1:22" hidden="1" x14ac:dyDescent="0.35">
      <c r="A630" t="s">
        <v>27</v>
      </c>
      <c r="B630">
        <v>3</v>
      </c>
      <c r="C630">
        <v>3</v>
      </c>
      <c r="D630">
        <v>2</v>
      </c>
      <c r="E630" t="s">
        <v>25</v>
      </c>
      <c r="F630">
        <v>50</v>
      </c>
      <c r="G630">
        <v>1</v>
      </c>
      <c r="H630">
        <v>20</v>
      </c>
      <c r="I630" t="s">
        <v>26</v>
      </c>
      <c r="J630" s="3">
        <v>164.800071</v>
      </c>
      <c r="K630" s="3">
        <v>27521.069</v>
      </c>
      <c r="L630" s="3">
        <v>27521.069</v>
      </c>
      <c r="M630" s="3">
        <v>27521.069</v>
      </c>
      <c r="N630" s="3">
        <v>23577.938999999998</v>
      </c>
      <c r="O630" s="4">
        <v>16.723800000000001</v>
      </c>
      <c r="P630" s="4">
        <v>16.723800000000001</v>
      </c>
      <c r="Q630" s="4">
        <v>16.723800000000001</v>
      </c>
      <c r="R630" s="5">
        <v>1E-4</v>
      </c>
      <c r="S630">
        <v>1</v>
      </c>
      <c r="T630" t="b">
        <v>0</v>
      </c>
      <c r="U630">
        <v>1</v>
      </c>
      <c r="V630" s="4">
        <v>2.96</v>
      </c>
    </row>
    <row r="631" spans="1:22" hidden="1" x14ac:dyDescent="0.35">
      <c r="A631" t="s">
        <v>27</v>
      </c>
      <c r="B631">
        <v>3</v>
      </c>
      <c r="C631">
        <v>3</v>
      </c>
      <c r="D631">
        <v>2</v>
      </c>
      <c r="E631" t="s">
        <v>25</v>
      </c>
      <c r="F631">
        <v>50</v>
      </c>
      <c r="G631">
        <v>3</v>
      </c>
      <c r="H631">
        <v>20</v>
      </c>
      <c r="I631" t="s">
        <v>26</v>
      </c>
      <c r="J631" s="3">
        <v>164.800071</v>
      </c>
      <c r="K631" s="3">
        <v>27521.069</v>
      </c>
      <c r="L631" s="3">
        <v>27521.069</v>
      </c>
      <c r="M631" s="3">
        <v>27521.069</v>
      </c>
      <c r="N631" s="3">
        <v>23577.938999999998</v>
      </c>
      <c r="O631" s="4">
        <v>16.723800000000001</v>
      </c>
      <c r="P631" s="4">
        <v>16.723800000000001</v>
      </c>
      <c r="Q631" s="4">
        <v>16.723800000000001</v>
      </c>
      <c r="R631" s="5">
        <v>1E-4</v>
      </c>
      <c r="S631">
        <v>1</v>
      </c>
      <c r="T631" t="b">
        <v>0</v>
      </c>
      <c r="U631">
        <v>1</v>
      </c>
      <c r="V631" s="4">
        <v>7.69</v>
      </c>
    </row>
    <row r="632" spans="1:22" hidden="1" x14ac:dyDescent="0.35">
      <c r="A632" t="s">
        <v>27</v>
      </c>
      <c r="B632">
        <v>3</v>
      </c>
      <c r="C632">
        <v>3</v>
      </c>
      <c r="D632">
        <v>2</v>
      </c>
      <c r="E632" t="s">
        <v>25</v>
      </c>
      <c r="F632">
        <v>200</v>
      </c>
      <c r="G632">
        <v>1</v>
      </c>
      <c r="H632">
        <v>20</v>
      </c>
      <c r="I632" t="s">
        <v>26</v>
      </c>
      <c r="J632" s="3">
        <v>164.800071</v>
      </c>
      <c r="K632" s="3">
        <v>27521.069</v>
      </c>
      <c r="L632" s="3">
        <v>27521.069</v>
      </c>
      <c r="M632" s="3">
        <v>27521.069</v>
      </c>
      <c r="N632" s="3">
        <v>23577.938999999998</v>
      </c>
      <c r="O632" s="4">
        <v>16.723800000000001</v>
      </c>
      <c r="P632" s="4">
        <v>16.723800000000001</v>
      </c>
      <c r="Q632" s="4">
        <v>16.723800000000001</v>
      </c>
      <c r="R632" s="5">
        <v>1E-4</v>
      </c>
      <c r="S632">
        <v>1</v>
      </c>
      <c r="T632" t="b">
        <v>0</v>
      </c>
      <c r="U632">
        <v>1</v>
      </c>
      <c r="V632" s="4">
        <v>3.05</v>
      </c>
    </row>
    <row r="633" spans="1:22" hidden="1" x14ac:dyDescent="0.35">
      <c r="A633" t="s">
        <v>27</v>
      </c>
      <c r="B633">
        <v>3</v>
      </c>
      <c r="C633">
        <v>3</v>
      </c>
      <c r="D633">
        <v>2</v>
      </c>
      <c r="E633" t="s">
        <v>25</v>
      </c>
      <c r="F633">
        <v>200</v>
      </c>
      <c r="G633">
        <v>3</v>
      </c>
      <c r="H633">
        <v>20</v>
      </c>
      <c r="I633" t="s">
        <v>26</v>
      </c>
      <c r="J633" s="3">
        <v>164.800071</v>
      </c>
      <c r="K633" s="3">
        <v>27521.069</v>
      </c>
      <c r="L633" s="3">
        <v>27521.069</v>
      </c>
      <c r="M633" s="3">
        <v>27521.069</v>
      </c>
      <c r="N633" s="3">
        <v>23577.938999999998</v>
      </c>
      <c r="O633" s="4">
        <v>16.723800000000001</v>
      </c>
      <c r="P633" s="4">
        <v>16.723800000000001</v>
      </c>
      <c r="Q633" s="4">
        <v>16.723800000000001</v>
      </c>
      <c r="R633" s="5">
        <v>1E-4</v>
      </c>
      <c r="S633">
        <v>1</v>
      </c>
      <c r="T633" t="b">
        <v>0</v>
      </c>
      <c r="U633">
        <v>1</v>
      </c>
      <c r="V633" s="4">
        <v>7.74</v>
      </c>
    </row>
    <row r="634" spans="1:22" hidden="1" x14ac:dyDescent="0.35">
      <c r="A634" t="s">
        <v>27</v>
      </c>
      <c r="B634">
        <v>3</v>
      </c>
      <c r="C634">
        <v>3</v>
      </c>
      <c r="D634">
        <v>5</v>
      </c>
      <c r="E634" t="s">
        <v>22</v>
      </c>
      <c r="F634">
        <v>50</v>
      </c>
      <c r="G634">
        <v>1</v>
      </c>
      <c r="H634">
        <v>20</v>
      </c>
      <c r="I634" t="s">
        <v>26</v>
      </c>
      <c r="J634" s="3">
        <v>398.379887</v>
      </c>
      <c r="K634" s="3" t="s">
        <v>24</v>
      </c>
      <c r="L634" s="3" t="s">
        <v>24</v>
      </c>
      <c r="M634" s="3" t="s">
        <v>24</v>
      </c>
      <c r="N634" s="3">
        <v>23577.938999999998</v>
      </c>
      <c r="O634" s="4"/>
      <c r="P634" s="4"/>
      <c r="Q634" s="4"/>
      <c r="R634" s="5">
        <v>0</v>
      </c>
      <c r="S634">
        <v>0</v>
      </c>
      <c r="T634" t="b">
        <v>1</v>
      </c>
      <c r="U634">
        <v>-1</v>
      </c>
      <c r="V634" s="4">
        <v>15.17</v>
      </c>
    </row>
    <row r="635" spans="1:22" hidden="1" x14ac:dyDescent="0.35">
      <c r="A635" t="s">
        <v>27</v>
      </c>
      <c r="B635">
        <v>3</v>
      </c>
      <c r="C635">
        <v>3</v>
      </c>
      <c r="D635">
        <v>5</v>
      </c>
      <c r="E635" t="s">
        <v>22</v>
      </c>
      <c r="F635">
        <v>50</v>
      </c>
      <c r="G635">
        <v>3</v>
      </c>
      <c r="H635">
        <v>20</v>
      </c>
      <c r="I635" t="s">
        <v>26</v>
      </c>
      <c r="J635" s="3">
        <v>390.76872100000003</v>
      </c>
      <c r="K635" s="3">
        <v>27233.46</v>
      </c>
      <c r="L635" s="3">
        <v>27233.46</v>
      </c>
      <c r="M635" s="3">
        <v>27233.46</v>
      </c>
      <c r="N635" s="3">
        <v>23577.938999999998</v>
      </c>
      <c r="O635" s="4">
        <v>15.504</v>
      </c>
      <c r="P635" s="4">
        <v>15.504</v>
      </c>
      <c r="Q635" s="4">
        <v>15.504</v>
      </c>
      <c r="R635" s="5">
        <v>1E-4</v>
      </c>
      <c r="S635">
        <v>1</v>
      </c>
      <c r="T635" t="b">
        <v>0</v>
      </c>
      <c r="U635">
        <v>1</v>
      </c>
      <c r="V635" s="4">
        <v>45.52</v>
      </c>
    </row>
    <row r="636" spans="1:22" hidden="1" x14ac:dyDescent="0.35">
      <c r="A636" t="s">
        <v>27</v>
      </c>
      <c r="B636">
        <v>3</v>
      </c>
      <c r="C636">
        <v>3</v>
      </c>
      <c r="D636">
        <v>5</v>
      </c>
      <c r="E636" t="s">
        <v>22</v>
      </c>
      <c r="F636">
        <v>200</v>
      </c>
      <c r="G636">
        <v>1</v>
      </c>
      <c r="H636">
        <v>20</v>
      </c>
      <c r="I636" t="s">
        <v>26</v>
      </c>
      <c r="J636" s="3">
        <v>398.379887</v>
      </c>
      <c r="K636" s="3" t="s">
        <v>24</v>
      </c>
      <c r="L636" s="3" t="s">
        <v>24</v>
      </c>
      <c r="M636" s="3" t="s">
        <v>24</v>
      </c>
      <c r="N636" s="3">
        <v>23577.938999999998</v>
      </c>
      <c r="O636" s="4"/>
      <c r="P636" s="4"/>
      <c r="Q636" s="4"/>
      <c r="R636" s="5">
        <v>0</v>
      </c>
      <c r="S636">
        <v>0</v>
      </c>
      <c r="T636" t="b">
        <v>1</v>
      </c>
      <c r="U636">
        <v>-1</v>
      </c>
      <c r="V636" s="4">
        <v>15.12</v>
      </c>
    </row>
    <row r="637" spans="1:22" hidden="1" x14ac:dyDescent="0.35">
      <c r="A637" t="s">
        <v>27</v>
      </c>
      <c r="B637">
        <v>3</v>
      </c>
      <c r="C637">
        <v>3</v>
      </c>
      <c r="D637">
        <v>5</v>
      </c>
      <c r="E637" t="s">
        <v>22</v>
      </c>
      <c r="F637">
        <v>200</v>
      </c>
      <c r="G637">
        <v>3</v>
      </c>
      <c r="H637">
        <v>20</v>
      </c>
      <c r="I637" t="s">
        <v>26</v>
      </c>
      <c r="J637" s="3">
        <v>389.05216100000001</v>
      </c>
      <c r="K637" s="3">
        <v>27233.46</v>
      </c>
      <c r="L637" s="3">
        <v>27233.46</v>
      </c>
      <c r="M637" s="3">
        <v>27233.46</v>
      </c>
      <c r="N637" s="3">
        <v>23577.938999999998</v>
      </c>
      <c r="O637" s="4">
        <v>15.504</v>
      </c>
      <c r="P637" s="4">
        <v>15.504</v>
      </c>
      <c r="Q637" s="4">
        <v>15.504</v>
      </c>
      <c r="R637" s="5">
        <v>1E-4</v>
      </c>
      <c r="S637">
        <v>1</v>
      </c>
      <c r="T637" t="b">
        <v>0</v>
      </c>
      <c r="U637">
        <v>1</v>
      </c>
      <c r="V637" s="4">
        <v>48.27</v>
      </c>
    </row>
    <row r="638" spans="1:22" hidden="1" x14ac:dyDescent="0.35">
      <c r="A638" t="s">
        <v>27</v>
      </c>
      <c r="B638">
        <v>3</v>
      </c>
      <c r="C638">
        <v>3</v>
      </c>
      <c r="D638">
        <v>5</v>
      </c>
      <c r="E638" t="s">
        <v>25</v>
      </c>
      <c r="F638">
        <v>50</v>
      </c>
      <c r="G638">
        <v>1</v>
      </c>
      <c r="H638">
        <v>20</v>
      </c>
      <c r="I638" t="s">
        <v>26</v>
      </c>
      <c r="J638" s="3">
        <v>411.45482600000003</v>
      </c>
      <c r="K638" s="3" t="s">
        <v>24</v>
      </c>
      <c r="L638" s="3" t="s">
        <v>24</v>
      </c>
      <c r="M638" s="3" t="s">
        <v>24</v>
      </c>
      <c r="N638" s="3">
        <v>23577.938999999998</v>
      </c>
      <c r="O638" s="4"/>
      <c r="P638" s="4"/>
      <c r="Q638" s="4"/>
      <c r="R638" s="5">
        <v>0</v>
      </c>
      <c r="S638">
        <v>0</v>
      </c>
      <c r="T638" t="b">
        <v>1</v>
      </c>
      <c r="U638">
        <v>-1</v>
      </c>
      <c r="V638" s="4">
        <v>2.91</v>
      </c>
    </row>
    <row r="639" spans="1:22" hidden="1" x14ac:dyDescent="0.35">
      <c r="A639" t="s">
        <v>27</v>
      </c>
      <c r="B639">
        <v>3</v>
      </c>
      <c r="C639">
        <v>3</v>
      </c>
      <c r="D639">
        <v>5</v>
      </c>
      <c r="E639" t="s">
        <v>25</v>
      </c>
      <c r="F639">
        <v>50</v>
      </c>
      <c r="G639">
        <v>3</v>
      </c>
      <c r="H639">
        <v>20</v>
      </c>
      <c r="I639" t="s">
        <v>26</v>
      </c>
      <c r="J639" s="3">
        <v>411.45482600000003</v>
      </c>
      <c r="K639" s="3" t="s">
        <v>24</v>
      </c>
      <c r="L639" s="3" t="s">
        <v>24</v>
      </c>
      <c r="M639" s="3" t="s">
        <v>24</v>
      </c>
      <c r="N639" s="3">
        <v>23577.938999999998</v>
      </c>
      <c r="O639" s="4"/>
      <c r="P639" s="4"/>
      <c r="Q639" s="4"/>
      <c r="R639" s="5">
        <v>0</v>
      </c>
      <c r="S639">
        <v>0</v>
      </c>
      <c r="T639" t="b">
        <v>1</v>
      </c>
      <c r="U639">
        <v>-1</v>
      </c>
      <c r="V639" s="4">
        <v>109.91</v>
      </c>
    </row>
    <row r="640" spans="1:22" hidden="1" x14ac:dyDescent="0.35">
      <c r="A640" t="s">
        <v>27</v>
      </c>
      <c r="B640">
        <v>3</v>
      </c>
      <c r="C640">
        <v>3</v>
      </c>
      <c r="D640">
        <v>5</v>
      </c>
      <c r="E640" t="s">
        <v>25</v>
      </c>
      <c r="F640">
        <v>200</v>
      </c>
      <c r="G640">
        <v>1</v>
      </c>
      <c r="H640">
        <v>20</v>
      </c>
      <c r="I640" t="s">
        <v>26</v>
      </c>
      <c r="J640" s="3">
        <v>411.45482600000003</v>
      </c>
      <c r="K640" s="3" t="s">
        <v>24</v>
      </c>
      <c r="L640" s="3" t="s">
        <v>24</v>
      </c>
      <c r="M640" s="3" t="s">
        <v>24</v>
      </c>
      <c r="N640" s="3">
        <v>23577.938999999998</v>
      </c>
      <c r="O640" s="4"/>
      <c r="P640" s="4"/>
      <c r="Q640" s="4"/>
      <c r="R640" s="5">
        <v>0</v>
      </c>
      <c r="S640">
        <v>0</v>
      </c>
      <c r="T640" t="b">
        <v>1</v>
      </c>
      <c r="U640">
        <v>-1</v>
      </c>
      <c r="V640" s="4">
        <v>2.92</v>
      </c>
    </row>
    <row r="641" spans="1:22" hidden="1" x14ac:dyDescent="0.35">
      <c r="A641" t="s">
        <v>27</v>
      </c>
      <c r="B641">
        <v>3</v>
      </c>
      <c r="C641">
        <v>3</v>
      </c>
      <c r="D641">
        <v>5</v>
      </c>
      <c r="E641" t="s">
        <v>25</v>
      </c>
      <c r="F641">
        <v>200</v>
      </c>
      <c r="G641">
        <v>3</v>
      </c>
      <c r="H641">
        <v>20</v>
      </c>
      <c r="I641" t="s">
        <v>26</v>
      </c>
      <c r="J641" s="3">
        <v>411.45482600000003</v>
      </c>
      <c r="K641" s="3" t="s">
        <v>24</v>
      </c>
      <c r="L641" s="3" t="s">
        <v>24</v>
      </c>
      <c r="M641" s="3" t="s">
        <v>24</v>
      </c>
      <c r="N641" s="3">
        <v>23577.938999999998</v>
      </c>
      <c r="O641" s="4"/>
      <c r="P641" s="4"/>
      <c r="Q641" s="4"/>
      <c r="R641" s="5">
        <v>0</v>
      </c>
      <c r="S641">
        <v>0</v>
      </c>
      <c r="T641" t="b">
        <v>1</v>
      </c>
      <c r="U641">
        <v>-1</v>
      </c>
      <c r="V641" s="4">
        <v>158.57</v>
      </c>
    </row>
    <row r="642" spans="1:22" hidden="1" x14ac:dyDescent="0.35">
      <c r="A642" t="s">
        <v>27</v>
      </c>
      <c r="B642">
        <v>3</v>
      </c>
      <c r="C642">
        <v>3</v>
      </c>
      <c r="D642">
        <v>10</v>
      </c>
      <c r="E642" t="s">
        <v>22</v>
      </c>
      <c r="F642">
        <v>50</v>
      </c>
      <c r="G642">
        <v>1</v>
      </c>
      <c r="H642">
        <v>20</v>
      </c>
      <c r="I642" t="s">
        <v>26</v>
      </c>
      <c r="J642" s="3">
        <v>785.44431199999997</v>
      </c>
      <c r="K642" s="3">
        <v>23577.938999999998</v>
      </c>
      <c r="L642" s="3">
        <v>27637.697</v>
      </c>
      <c r="M642" s="3">
        <v>23577.938999999998</v>
      </c>
      <c r="N642" s="3">
        <v>23577.938999999998</v>
      </c>
      <c r="O642" s="4">
        <v>0</v>
      </c>
      <c r="P642" s="4">
        <v>17.218499999999999</v>
      </c>
      <c r="Q642" s="4">
        <v>0</v>
      </c>
      <c r="R642" s="5">
        <v>4.0000000000000002E-4</v>
      </c>
      <c r="S642">
        <v>4</v>
      </c>
      <c r="T642" t="b">
        <v>0</v>
      </c>
      <c r="U642">
        <v>3</v>
      </c>
      <c r="V642" s="4">
        <v>15.59</v>
      </c>
    </row>
    <row r="643" spans="1:22" hidden="1" x14ac:dyDescent="0.35">
      <c r="A643" t="s">
        <v>27</v>
      </c>
      <c r="B643">
        <v>3</v>
      </c>
      <c r="C643">
        <v>3</v>
      </c>
      <c r="D643">
        <v>10</v>
      </c>
      <c r="E643" t="s">
        <v>22</v>
      </c>
      <c r="F643">
        <v>50</v>
      </c>
      <c r="G643">
        <v>3</v>
      </c>
      <c r="H643">
        <v>20</v>
      </c>
      <c r="I643" t="s">
        <v>26</v>
      </c>
      <c r="J643" s="3">
        <v>293.96871900000002</v>
      </c>
      <c r="K643" s="3">
        <v>23577.938999999998</v>
      </c>
      <c r="L643" s="3">
        <v>25501.078000000001</v>
      </c>
      <c r="M643" s="3">
        <v>23577.938999999998</v>
      </c>
      <c r="N643" s="3">
        <v>23577.938999999998</v>
      </c>
      <c r="O643" s="4">
        <v>0</v>
      </c>
      <c r="P643" s="4">
        <v>8.1564999999999994</v>
      </c>
      <c r="Q643" s="4">
        <v>0</v>
      </c>
      <c r="R643" s="5">
        <v>5.5999999999999999E-3</v>
      </c>
      <c r="S643">
        <v>12</v>
      </c>
      <c r="T643" t="b">
        <v>0</v>
      </c>
      <c r="U643">
        <v>4</v>
      </c>
      <c r="V643" s="4">
        <v>45.17</v>
      </c>
    </row>
    <row r="644" spans="1:22" hidden="1" x14ac:dyDescent="0.35">
      <c r="A644" t="s">
        <v>27</v>
      </c>
      <c r="B644">
        <v>3</v>
      </c>
      <c r="C644">
        <v>3</v>
      </c>
      <c r="D644">
        <v>10</v>
      </c>
      <c r="E644" t="s">
        <v>22</v>
      </c>
      <c r="F644">
        <v>200</v>
      </c>
      <c r="G644">
        <v>1</v>
      </c>
      <c r="H644">
        <v>20</v>
      </c>
      <c r="I644" t="s">
        <v>26</v>
      </c>
      <c r="J644" s="3">
        <v>785.44431199999997</v>
      </c>
      <c r="K644" s="3">
        <v>23577.938999999998</v>
      </c>
      <c r="L644" s="3">
        <v>27637.697</v>
      </c>
      <c r="M644" s="3">
        <v>23577.938999999998</v>
      </c>
      <c r="N644" s="3">
        <v>23577.938999999998</v>
      </c>
      <c r="O644" s="4">
        <v>0</v>
      </c>
      <c r="P644" s="4">
        <v>17.218499999999999</v>
      </c>
      <c r="Q644" s="4">
        <v>0</v>
      </c>
      <c r="R644" s="5">
        <v>4.0000000000000002E-4</v>
      </c>
      <c r="S644">
        <v>4</v>
      </c>
      <c r="T644" t="b">
        <v>0</v>
      </c>
      <c r="U644">
        <v>3</v>
      </c>
      <c r="V644" s="4">
        <v>16.55</v>
      </c>
    </row>
    <row r="645" spans="1:22" hidden="1" x14ac:dyDescent="0.35">
      <c r="A645" t="s">
        <v>27</v>
      </c>
      <c r="B645">
        <v>3</v>
      </c>
      <c r="C645">
        <v>3</v>
      </c>
      <c r="D645">
        <v>10</v>
      </c>
      <c r="E645" t="s">
        <v>22</v>
      </c>
      <c r="F645">
        <v>200</v>
      </c>
      <c r="G645">
        <v>3</v>
      </c>
      <c r="H645">
        <v>20</v>
      </c>
      <c r="I645" t="s">
        <v>26</v>
      </c>
      <c r="J645" s="3">
        <v>293.48660799999999</v>
      </c>
      <c r="K645" s="3">
        <v>23577.938999999998</v>
      </c>
      <c r="L645" s="3">
        <v>25501.078000000001</v>
      </c>
      <c r="M645" s="3">
        <v>23577.938999999998</v>
      </c>
      <c r="N645" s="3">
        <v>23577.938999999998</v>
      </c>
      <c r="O645" s="4">
        <v>0</v>
      </c>
      <c r="P645" s="4">
        <v>8.1564999999999994</v>
      </c>
      <c r="Q645" s="4">
        <v>0</v>
      </c>
      <c r="R645" s="5">
        <v>5.7000000000000002E-3</v>
      </c>
      <c r="S645">
        <v>12</v>
      </c>
      <c r="T645" t="b">
        <v>0</v>
      </c>
      <c r="U645">
        <v>5</v>
      </c>
      <c r="V645" s="4">
        <v>49.9</v>
      </c>
    </row>
    <row r="646" spans="1:22" hidden="1" x14ac:dyDescent="0.35">
      <c r="A646" t="s">
        <v>27</v>
      </c>
      <c r="B646">
        <v>3</v>
      </c>
      <c r="C646">
        <v>3</v>
      </c>
      <c r="D646">
        <v>10</v>
      </c>
      <c r="E646" t="s">
        <v>25</v>
      </c>
      <c r="F646">
        <v>50</v>
      </c>
      <c r="G646">
        <v>1</v>
      </c>
      <c r="H646">
        <v>20</v>
      </c>
      <c r="I646" t="s">
        <v>26</v>
      </c>
      <c r="J646" s="3">
        <v>819.39356099999998</v>
      </c>
      <c r="K646" s="3">
        <v>25440.276000000002</v>
      </c>
      <c r="L646" s="3">
        <v>27637.697</v>
      </c>
      <c r="M646" s="3">
        <v>25440.276000000002</v>
      </c>
      <c r="N646" s="3">
        <v>23577.938999999998</v>
      </c>
      <c r="O646" s="4">
        <v>7.8986000000000001</v>
      </c>
      <c r="P646" s="4">
        <v>17.218499999999999</v>
      </c>
      <c r="Q646" s="4">
        <v>7.8986000000000001</v>
      </c>
      <c r="R646" s="5">
        <v>2.9999999999999997E-4</v>
      </c>
      <c r="S646">
        <v>3</v>
      </c>
      <c r="T646" t="b">
        <v>0</v>
      </c>
      <c r="U646">
        <v>3</v>
      </c>
      <c r="V646" s="4">
        <v>3</v>
      </c>
    </row>
    <row r="647" spans="1:22" hidden="1" x14ac:dyDescent="0.35">
      <c r="A647" t="s">
        <v>27</v>
      </c>
      <c r="B647">
        <v>3</v>
      </c>
      <c r="C647">
        <v>3</v>
      </c>
      <c r="D647">
        <v>10</v>
      </c>
      <c r="E647" t="s">
        <v>25</v>
      </c>
      <c r="F647">
        <v>50</v>
      </c>
      <c r="G647">
        <v>3</v>
      </c>
      <c r="H647">
        <v>20</v>
      </c>
      <c r="I647" t="s">
        <v>26</v>
      </c>
      <c r="J647" s="3">
        <v>813.10298699999998</v>
      </c>
      <c r="K647" s="3" t="s">
        <v>24</v>
      </c>
      <c r="L647" s="3" t="s">
        <v>24</v>
      </c>
      <c r="M647" s="3" t="s">
        <v>24</v>
      </c>
      <c r="N647" s="3">
        <v>23577.938999999998</v>
      </c>
      <c r="O647" s="4"/>
      <c r="P647" s="4"/>
      <c r="Q647" s="4"/>
      <c r="R647" s="5">
        <v>0</v>
      </c>
      <c r="S647">
        <v>0</v>
      </c>
      <c r="T647" t="b">
        <v>1</v>
      </c>
      <c r="U647">
        <v>-1</v>
      </c>
      <c r="V647" s="4">
        <v>7.64</v>
      </c>
    </row>
    <row r="648" spans="1:22" hidden="1" x14ac:dyDescent="0.35">
      <c r="A648" t="s">
        <v>27</v>
      </c>
      <c r="B648">
        <v>3</v>
      </c>
      <c r="C648">
        <v>3</v>
      </c>
      <c r="D648">
        <v>10</v>
      </c>
      <c r="E648" t="s">
        <v>25</v>
      </c>
      <c r="F648">
        <v>200</v>
      </c>
      <c r="G648">
        <v>1</v>
      </c>
      <c r="H648">
        <v>20</v>
      </c>
      <c r="I648" t="s">
        <v>26</v>
      </c>
      <c r="J648" s="3">
        <v>819.39356099999998</v>
      </c>
      <c r="K648" s="3">
        <v>25440.276000000002</v>
      </c>
      <c r="L648" s="3">
        <v>27637.697</v>
      </c>
      <c r="M648" s="3">
        <v>25440.276000000002</v>
      </c>
      <c r="N648" s="3">
        <v>23577.938999999998</v>
      </c>
      <c r="O648" s="4">
        <v>7.8986000000000001</v>
      </c>
      <c r="P648" s="4">
        <v>17.218499999999999</v>
      </c>
      <c r="Q648" s="4">
        <v>7.8986000000000001</v>
      </c>
      <c r="R648" s="5">
        <v>2.9999999999999997E-4</v>
      </c>
      <c r="S648">
        <v>3</v>
      </c>
      <c r="T648" t="b">
        <v>0</v>
      </c>
      <c r="U648">
        <v>3</v>
      </c>
      <c r="V648" s="4">
        <v>2.84</v>
      </c>
    </row>
    <row r="649" spans="1:22" hidden="1" x14ac:dyDescent="0.35">
      <c r="A649" t="s">
        <v>27</v>
      </c>
      <c r="B649">
        <v>3</v>
      </c>
      <c r="C649">
        <v>3</v>
      </c>
      <c r="D649">
        <v>10</v>
      </c>
      <c r="E649" t="s">
        <v>25</v>
      </c>
      <c r="F649">
        <v>200</v>
      </c>
      <c r="G649">
        <v>3</v>
      </c>
      <c r="H649">
        <v>20</v>
      </c>
      <c r="I649" t="s">
        <v>26</v>
      </c>
      <c r="J649" s="3">
        <v>813.10298699999998</v>
      </c>
      <c r="K649" s="3" t="s">
        <v>24</v>
      </c>
      <c r="L649" s="3" t="s">
        <v>24</v>
      </c>
      <c r="M649" s="3" t="s">
        <v>24</v>
      </c>
      <c r="N649" s="3">
        <v>23577.938999999998</v>
      </c>
      <c r="O649" s="4"/>
      <c r="P649" s="4"/>
      <c r="Q649" s="4"/>
      <c r="R649" s="5">
        <v>0</v>
      </c>
      <c r="S649">
        <v>0</v>
      </c>
      <c r="T649" t="b">
        <v>1</v>
      </c>
      <c r="U649">
        <v>-1</v>
      </c>
      <c r="V649" s="4">
        <v>7.73</v>
      </c>
    </row>
    <row r="650" spans="1:22" hidden="1" x14ac:dyDescent="0.35">
      <c r="A650" t="s">
        <v>27</v>
      </c>
      <c r="B650">
        <v>3</v>
      </c>
      <c r="C650">
        <v>5</v>
      </c>
      <c r="D650">
        <v>2</v>
      </c>
      <c r="E650" t="s">
        <v>22</v>
      </c>
      <c r="F650">
        <v>50</v>
      </c>
      <c r="G650">
        <v>1</v>
      </c>
      <c r="H650">
        <v>20</v>
      </c>
      <c r="I650" t="s">
        <v>26</v>
      </c>
      <c r="J650" s="3">
        <v>61.452531999999998</v>
      </c>
      <c r="K650" s="3">
        <v>23577.938999999998</v>
      </c>
      <c r="L650" s="3">
        <v>27521.069</v>
      </c>
      <c r="M650" s="3">
        <v>23577.938999999998</v>
      </c>
      <c r="N650" s="3">
        <v>23577.938999999998</v>
      </c>
      <c r="O650" s="4">
        <v>0</v>
      </c>
      <c r="P650" s="4">
        <v>16.723800000000001</v>
      </c>
      <c r="Q650" s="4">
        <v>0</v>
      </c>
      <c r="R650" s="5">
        <v>1.47E-2</v>
      </c>
      <c r="S650">
        <v>12</v>
      </c>
      <c r="T650" t="b">
        <v>0</v>
      </c>
      <c r="U650">
        <v>3</v>
      </c>
      <c r="V650" s="4">
        <v>21.38</v>
      </c>
    </row>
    <row r="651" spans="1:22" hidden="1" x14ac:dyDescent="0.35">
      <c r="A651" t="s">
        <v>27</v>
      </c>
      <c r="B651">
        <v>3</v>
      </c>
      <c r="C651">
        <v>5</v>
      </c>
      <c r="D651">
        <v>2</v>
      </c>
      <c r="E651" t="s">
        <v>22</v>
      </c>
      <c r="F651">
        <v>50</v>
      </c>
      <c r="G651">
        <v>3</v>
      </c>
      <c r="H651">
        <v>20</v>
      </c>
      <c r="I651" t="s">
        <v>26</v>
      </c>
      <c r="J651" s="3">
        <v>61.452531999999998</v>
      </c>
      <c r="K651" s="3">
        <v>23577.938999999998</v>
      </c>
      <c r="L651" s="3">
        <v>27521.069</v>
      </c>
      <c r="M651" s="3">
        <v>23577.938999999998</v>
      </c>
      <c r="N651" s="3">
        <v>23577.938999999998</v>
      </c>
      <c r="O651" s="4">
        <v>0</v>
      </c>
      <c r="P651" s="4">
        <v>16.723800000000001</v>
      </c>
      <c r="Q651" s="4">
        <v>0</v>
      </c>
      <c r="R651" s="5">
        <v>1.47E-2</v>
      </c>
      <c r="S651">
        <v>12</v>
      </c>
      <c r="T651" t="b">
        <v>0</v>
      </c>
      <c r="U651">
        <v>3</v>
      </c>
      <c r="V651" s="4">
        <v>62.33</v>
      </c>
    </row>
    <row r="652" spans="1:22" hidden="1" x14ac:dyDescent="0.35">
      <c r="A652" t="s">
        <v>27</v>
      </c>
      <c r="B652">
        <v>3</v>
      </c>
      <c r="C652">
        <v>5</v>
      </c>
      <c r="D652">
        <v>2</v>
      </c>
      <c r="E652" t="s">
        <v>22</v>
      </c>
      <c r="F652">
        <v>200</v>
      </c>
      <c r="G652">
        <v>1</v>
      </c>
      <c r="H652">
        <v>20</v>
      </c>
      <c r="I652" t="s">
        <v>26</v>
      </c>
      <c r="J652" s="3">
        <v>61.452531999999998</v>
      </c>
      <c r="K652" s="3">
        <v>23577.938999999998</v>
      </c>
      <c r="L652" s="3">
        <v>27521.069</v>
      </c>
      <c r="M652" s="3">
        <v>23577.938999999998</v>
      </c>
      <c r="N652" s="3">
        <v>23577.938999999998</v>
      </c>
      <c r="O652" s="4">
        <v>0</v>
      </c>
      <c r="P652" s="4">
        <v>16.723800000000001</v>
      </c>
      <c r="Q652" s="4">
        <v>0</v>
      </c>
      <c r="R652" s="5">
        <v>1.47E-2</v>
      </c>
      <c r="S652">
        <v>12</v>
      </c>
      <c r="T652" t="b">
        <v>0</v>
      </c>
      <c r="U652">
        <v>3</v>
      </c>
      <c r="V652" s="4">
        <v>35.43</v>
      </c>
    </row>
    <row r="653" spans="1:22" hidden="1" x14ac:dyDescent="0.35">
      <c r="A653" t="s">
        <v>27</v>
      </c>
      <c r="B653">
        <v>3</v>
      </c>
      <c r="C653">
        <v>5</v>
      </c>
      <c r="D653">
        <v>2</v>
      </c>
      <c r="E653" t="s">
        <v>22</v>
      </c>
      <c r="F653">
        <v>200</v>
      </c>
      <c r="G653">
        <v>3</v>
      </c>
      <c r="H653">
        <v>20</v>
      </c>
      <c r="I653" t="s">
        <v>26</v>
      </c>
      <c r="J653" s="3">
        <v>61.452531999999998</v>
      </c>
      <c r="K653" s="3">
        <v>23577.938999999998</v>
      </c>
      <c r="L653" s="3">
        <v>27521.069</v>
      </c>
      <c r="M653" s="3">
        <v>23577.938999999998</v>
      </c>
      <c r="N653" s="3">
        <v>23577.938999999998</v>
      </c>
      <c r="O653" s="4">
        <v>0</v>
      </c>
      <c r="P653" s="4">
        <v>16.723800000000001</v>
      </c>
      <c r="Q653" s="4">
        <v>0</v>
      </c>
      <c r="R653" s="5">
        <v>1.47E-2</v>
      </c>
      <c r="S653">
        <v>12</v>
      </c>
      <c r="T653" t="b">
        <v>0</v>
      </c>
      <c r="U653">
        <v>3</v>
      </c>
      <c r="V653" s="4">
        <v>100.15</v>
      </c>
    </row>
    <row r="654" spans="1:22" hidden="1" x14ac:dyDescent="0.35">
      <c r="A654" t="s">
        <v>27</v>
      </c>
      <c r="B654">
        <v>3</v>
      </c>
      <c r="C654">
        <v>5</v>
      </c>
      <c r="D654">
        <v>2</v>
      </c>
      <c r="E654" t="s">
        <v>25</v>
      </c>
      <c r="F654">
        <v>50</v>
      </c>
      <c r="G654">
        <v>1</v>
      </c>
      <c r="H654">
        <v>20</v>
      </c>
      <c r="I654" t="s">
        <v>26</v>
      </c>
      <c r="J654" s="3">
        <v>167.50008299999999</v>
      </c>
      <c r="K654" s="3">
        <v>25440.276000000002</v>
      </c>
      <c r="L654" s="3">
        <v>25440.276000000002</v>
      </c>
      <c r="M654" s="3">
        <v>25440.276000000002</v>
      </c>
      <c r="N654" s="3">
        <v>23577.938999999998</v>
      </c>
      <c r="O654" s="4">
        <v>7.8986000000000001</v>
      </c>
      <c r="P654" s="4">
        <v>7.8986000000000001</v>
      </c>
      <c r="Q654" s="4">
        <v>7.8986000000000001</v>
      </c>
      <c r="R654" s="5">
        <v>1E-4</v>
      </c>
      <c r="S654">
        <v>1</v>
      </c>
      <c r="T654" t="b">
        <v>0</v>
      </c>
      <c r="U654">
        <v>1</v>
      </c>
      <c r="V654" s="4">
        <v>5.56</v>
      </c>
    </row>
    <row r="655" spans="1:22" hidden="1" x14ac:dyDescent="0.35">
      <c r="A655" t="s">
        <v>27</v>
      </c>
      <c r="B655">
        <v>3</v>
      </c>
      <c r="C655">
        <v>5</v>
      </c>
      <c r="D655">
        <v>2</v>
      </c>
      <c r="E655" t="s">
        <v>25</v>
      </c>
      <c r="F655">
        <v>50</v>
      </c>
      <c r="G655">
        <v>3</v>
      </c>
      <c r="H655">
        <v>20</v>
      </c>
      <c r="I655" t="s">
        <v>26</v>
      </c>
      <c r="J655" s="3">
        <v>167.50008299999999</v>
      </c>
      <c r="K655" s="3">
        <v>25440.276000000002</v>
      </c>
      <c r="L655" s="3">
        <v>25440.276000000002</v>
      </c>
      <c r="M655" s="3">
        <v>25440.276000000002</v>
      </c>
      <c r="N655" s="3">
        <v>23577.938999999998</v>
      </c>
      <c r="O655" s="4">
        <v>7.8986000000000001</v>
      </c>
      <c r="P655" s="4">
        <v>7.8986000000000001</v>
      </c>
      <c r="Q655" s="4">
        <v>7.8986000000000001</v>
      </c>
      <c r="R655" s="5">
        <v>1E-4</v>
      </c>
      <c r="S655">
        <v>1</v>
      </c>
      <c r="T655" t="b">
        <v>0</v>
      </c>
      <c r="U655">
        <v>1</v>
      </c>
      <c r="V655" s="4">
        <v>15.43</v>
      </c>
    </row>
    <row r="656" spans="1:22" hidden="1" x14ac:dyDescent="0.35">
      <c r="A656" t="s">
        <v>27</v>
      </c>
      <c r="B656">
        <v>3</v>
      </c>
      <c r="C656">
        <v>5</v>
      </c>
      <c r="D656">
        <v>2</v>
      </c>
      <c r="E656" t="s">
        <v>25</v>
      </c>
      <c r="F656">
        <v>200</v>
      </c>
      <c r="G656">
        <v>1</v>
      </c>
      <c r="H656">
        <v>20</v>
      </c>
      <c r="I656" t="s">
        <v>26</v>
      </c>
      <c r="J656" s="3">
        <v>167.50008299999999</v>
      </c>
      <c r="K656" s="3">
        <v>25440.276000000002</v>
      </c>
      <c r="L656" s="3">
        <v>25440.276000000002</v>
      </c>
      <c r="M656" s="3">
        <v>25440.276000000002</v>
      </c>
      <c r="N656" s="3">
        <v>23577.938999999998</v>
      </c>
      <c r="O656" s="4">
        <v>7.8986000000000001</v>
      </c>
      <c r="P656" s="4">
        <v>7.8986000000000001</v>
      </c>
      <c r="Q656" s="4">
        <v>7.8986000000000001</v>
      </c>
      <c r="R656" s="5">
        <v>1E-4</v>
      </c>
      <c r="S656">
        <v>1</v>
      </c>
      <c r="T656" t="b">
        <v>0</v>
      </c>
      <c r="U656">
        <v>1</v>
      </c>
      <c r="V656" s="4">
        <v>5.71</v>
      </c>
    </row>
    <row r="657" spans="1:22" hidden="1" x14ac:dyDescent="0.35">
      <c r="A657" t="s">
        <v>27</v>
      </c>
      <c r="B657">
        <v>3</v>
      </c>
      <c r="C657">
        <v>5</v>
      </c>
      <c r="D657">
        <v>2</v>
      </c>
      <c r="E657" t="s">
        <v>25</v>
      </c>
      <c r="F657">
        <v>200</v>
      </c>
      <c r="G657">
        <v>3</v>
      </c>
      <c r="H657">
        <v>20</v>
      </c>
      <c r="I657" t="s">
        <v>26</v>
      </c>
      <c r="J657" s="3">
        <v>167.50008299999999</v>
      </c>
      <c r="K657" s="3">
        <v>25440.276000000002</v>
      </c>
      <c r="L657" s="3">
        <v>25440.276000000002</v>
      </c>
      <c r="M657" s="3">
        <v>25440.276000000002</v>
      </c>
      <c r="N657" s="3">
        <v>23577.938999999998</v>
      </c>
      <c r="O657" s="4">
        <v>7.8986000000000001</v>
      </c>
      <c r="P657" s="4">
        <v>7.8986000000000001</v>
      </c>
      <c r="Q657" s="4">
        <v>7.8986000000000001</v>
      </c>
      <c r="R657" s="5">
        <v>1E-4</v>
      </c>
      <c r="S657">
        <v>1</v>
      </c>
      <c r="T657" t="b">
        <v>0</v>
      </c>
      <c r="U657">
        <v>1</v>
      </c>
      <c r="V657" s="4">
        <v>15.59</v>
      </c>
    </row>
    <row r="658" spans="1:22" hidden="1" x14ac:dyDescent="0.35">
      <c r="A658" t="s">
        <v>27</v>
      </c>
      <c r="B658">
        <v>3</v>
      </c>
      <c r="C658">
        <v>5</v>
      </c>
      <c r="D658">
        <v>5</v>
      </c>
      <c r="E658" t="s">
        <v>22</v>
      </c>
      <c r="F658">
        <v>50</v>
      </c>
      <c r="G658">
        <v>1</v>
      </c>
      <c r="H658">
        <v>20</v>
      </c>
      <c r="I658" t="s">
        <v>26</v>
      </c>
      <c r="J658" s="3">
        <v>172.85902300000001</v>
      </c>
      <c r="K658" s="3">
        <v>23577.938999999998</v>
      </c>
      <c r="L658" s="3">
        <v>27637.697</v>
      </c>
      <c r="M658" s="3">
        <v>23577.938999999998</v>
      </c>
      <c r="N658" s="3">
        <v>23577.938999999998</v>
      </c>
      <c r="O658" s="4">
        <v>0</v>
      </c>
      <c r="P658" s="4">
        <v>17.218499999999999</v>
      </c>
      <c r="Q658" s="4">
        <v>0</v>
      </c>
      <c r="R658" s="5">
        <v>5.4000000000000003E-3</v>
      </c>
      <c r="S658">
        <v>12</v>
      </c>
      <c r="T658" t="b">
        <v>0</v>
      </c>
      <c r="U658">
        <v>4</v>
      </c>
      <c r="V658" s="4">
        <v>21.25</v>
      </c>
    </row>
    <row r="659" spans="1:22" hidden="1" x14ac:dyDescent="0.35">
      <c r="A659" t="s">
        <v>27</v>
      </c>
      <c r="B659">
        <v>3</v>
      </c>
      <c r="C659">
        <v>5</v>
      </c>
      <c r="D659">
        <v>5</v>
      </c>
      <c r="E659" t="s">
        <v>22</v>
      </c>
      <c r="F659">
        <v>50</v>
      </c>
      <c r="G659">
        <v>3</v>
      </c>
      <c r="H659">
        <v>20</v>
      </c>
      <c r="I659" t="s">
        <v>26</v>
      </c>
      <c r="J659" s="3">
        <v>144.18568300000001</v>
      </c>
      <c r="K659" s="3">
        <v>23577.938999999998</v>
      </c>
      <c r="L659" s="3">
        <v>23577.938999999998</v>
      </c>
      <c r="M659" s="3">
        <v>23577.938999999998</v>
      </c>
      <c r="N659" s="3">
        <v>23577.938999999998</v>
      </c>
      <c r="O659" s="4">
        <v>0</v>
      </c>
      <c r="P659" s="4">
        <v>0</v>
      </c>
      <c r="Q659" s="4">
        <v>0</v>
      </c>
      <c r="R659" s="5">
        <v>8.6999999999999994E-3</v>
      </c>
      <c r="S659">
        <v>12</v>
      </c>
      <c r="T659" t="b">
        <v>0</v>
      </c>
      <c r="U659">
        <v>1</v>
      </c>
      <c r="V659" s="4">
        <v>61.53</v>
      </c>
    </row>
    <row r="660" spans="1:22" hidden="1" x14ac:dyDescent="0.35">
      <c r="A660" t="s">
        <v>27</v>
      </c>
      <c r="B660">
        <v>3</v>
      </c>
      <c r="C660">
        <v>5</v>
      </c>
      <c r="D660">
        <v>5</v>
      </c>
      <c r="E660" t="s">
        <v>22</v>
      </c>
      <c r="F660">
        <v>200</v>
      </c>
      <c r="G660">
        <v>1</v>
      </c>
      <c r="H660">
        <v>20</v>
      </c>
      <c r="I660" t="s">
        <v>26</v>
      </c>
      <c r="J660" s="3">
        <v>124.83871000000001</v>
      </c>
      <c r="K660" s="3">
        <v>23577.938999999998</v>
      </c>
      <c r="L660" s="3">
        <v>27521.069</v>
      </c>
      <c r="M660" s="3">
        <v>23577.938999999998</v>
      </c>
      <c r="N660" s="3">
        <v>23577.938999999998</v>
      </c>
      <c r="O660" s="4">
        <v>0</v>
      </c>
      <c r="P660" s="4">
        <v>16.723800000000001</v>
      </c>
      <c r="Q660" s="4">
        <v>0</v>
      </c>
      <c r="R660" s="5">
        <v>9.1000000000000004E-3</v>
      </c>
      <c r="S660">
        <v>12</v>
      </c>
      <c r="T660" t="b">
        <v>0</v>
      </c>
      <c r="U660">
        <v>8</v>
      </c>
      <c r="V660" s="4">
        <v>48.94</v>
      </c>
    </row>
    <row r="661" spans="1:22" hidden="1" x14ac:dyDescent="0.35">
      <c r="A661" t="s">
        <v>27</v>
      </c>
      <c r="B661">
        <v>3</v>
      </c>
      <c r="C661">
        <v>5</v>
      </c>
      <c r="D661">
        <v>5</v>
      </c>
      <c r="E661" t="s">
        <v>22</v>
      </c>
      <c r="F661">
        <v>200</v>
      </c>
      <c r="G661">
        <v>3</v>
      </c>
      <c r="H661">
        <v>20</v>
      </c>
      <c r="I661" t="s">
        <v>26</v>
      </c>
      <c r="J661" s="3">
        <v>124.83871000000001</v>
      </c>
      <c r="K661" s="3">
        <v>23577.938999999998</v>
      </c>
      <c r="L661" s="3">
        <v>27521.069</v>
      </c>
      <c r="M661" s="3">
        <v>23577.938999999998</v>
      </c>
      <c r="N661" s="3">
        <v>23577.938999999998</v>
      </c>
      <c r="O661" s="4">
        <v>0</v>
      </c>
      <c r="P661" s="4">
        <v>16.723800000000001</v>
      </c>
      <c r="Q661" s="4">
        <v>0</v>
      </c>
      <c r="R661" s="5">
        <v>9.1000000000000004E-3</v>
      </c>
      <c r="S661">
        <v>12</v>
      </c>
      <c r="T661" t="b">
        <v>0</v>
      </c>
      <c r="U661">
        <v>8</v>
      </c>
      <c r="V661" s="4">
        <v>113.05</v>
      </c>
    </row>
    <row r="662" spans="1:22" hidden="1" x14ac:dyDescent="0.35">
      <c r="A662" t="s">
        <v>27</v>
      </c>
      <c r="B662">
        <v>3</v>
      </c>
      <c r="C662">
        <v>5</v>
      </c>
      <c r="D662">
        <v>5</v>
      </c>
      <c r="E662" t="s">
        <v>25</v>
      </c>
      <c r="F662">
        <v>50</v>
      </c>
      <c r="G662">
        <v>1</v>
      </c>
      <c r="H662">
        <v>20</v>
      </c>
      <c r="I662" t="s">
        <v>26</v>
      </c>
      <c r="J662" s="3">
        <v>410.25376999999997</v>
      </c>
      <c r="K662" s="3" t="s">
        <v>24</v>
      </c>
      <c r="L662" s="3" t="s">
        <v>24</v>
      </c>
      <c r="M662" s="3" t="s">
        <v>24</v>
      </c>
      <c r="N662" s="3">
        <v>23577.938999999998</v>
      </c>
      <c r="O662" s="4"/>
      <c r="P662" s="4"/>
      <c r="Q662" s="4"/>
      <c r="R662" s="5">
        <v>0</v>
      </c>
      <c r="S662">
        <v>0</v>
      </c>
      <c r="T662" t="b">
        <v>1</v>
      </c>
      <c r="U662">
        <v>-1</v>
      </c>
      <c r="V662" s="4">
        <v>5.56</v>
      </c>
    </row>
    <row r="663" spans="1:22" hidden="1" x14ac:dyDescent="0.35">
      <c r="A663" t="s">
        <v>27</v>
      </c>
      <c r="B663">
        <v>3</v>
      </c>
      <c r="C663">
        <v>5</v>
      </c>
      <c r="D663">
        <v>5</v>
      </c>
      <c r="E663" t="s">
        <v>25</v>
      </c>
      <c r="F663">
        <v>50</v>
      </c>
      <c r="G663">
        <v>3</v>
      </c>
      <c r="H663">
        <v>20</v>
      </c>
      <c r="I663" t="s">
        <v>26</v>
      </c>
      <c r="J663" s="3">
        <v>410.25376999999997</v>
      </c>
      <c r="K663" s="3" t="s">
        <v>24</v>
      </c>
      <c r="L663" s="3" t="s">
        <v>24</v>
      </c>
      <c r="M663" s="3" t="s">
        <v>24</v>
      </c>
      <c r="N663" s="3">
        <v>23577.938999999998</v>
      </c>
      <c r="O663" s="4"/>
      <c r="P663" s="4"/>
      <c r="Q663" s="4"/>
      <c r="R663" s="5">
        <v>0</v>
      </c>
      <c r="S663">
        <v>0</v>
      </c>
      <c r="T663" t="b">
        <v>1</v>
      </c>
      <c r="U663">
        <v>-1</v>
      </c>
      <c r="V663" s="4">
        <v>15.21</v>
      </c>
    </row>
    <row r="664" spans="1:22" hidden="1" x14ac:dyDescent="0.35">
      <c r="A664" t="s">
        <v>27</v>
      </c>
      <c r="B664">
        <v>3</v>
      </c>
      <c r="C664">
        <v>5</v>
      </c>
      <c r="D664">
        <v>5</v>
      </c>
      <c r="E664" t="s">
        <v>25</v>
      </c>
      <c r="F664">
        <v>200</v>
      </c>
      <c r="G664">
        <v>1</v>
      </c>
      <c r="H664">
        <v>20</v>
      </c>
      <c r="I664" t="s">
        <v>26</v>
      </c>
      <c r="J664" s="3">
        <v>410.25376999999997</v>
      </c>
      <c r="K664" s="3" t="s">
        <v>24</v>
      </c>
      <c r="L664" s="3" t="s">
        <v>24</v>
      </c>
      <c r="M664" s="3" t="s">
        <v>24</v>
      </c>
      <c r="N664" s="3">
        <v>23577.938999999998</v>
      </c>
      <c r="O664" s="4"/>
      <c r="P664" s="4"/>
      <c r="Q664" s="4"/>
      <c r="R664" s="5">
        <v>0</v>
      </c>
      <c r="S664">
        <v>0</v>
      </c>
      <c r="T664" t="b">
        <v>1</v>
      </c>
      <c r="U664">
        <v>-1</v>
      </c>
      <c r="V664" s="4">
        <v>5.61</v>
      </c>
    </row>
    <row r="665" spans="1:22" hidden="1" x14ac:dyDescent="0.35">
      <c r="A665" t="s">
        <v>27</v>
      </c>
      <c r="B665">
        <v>3</v>
      </c>
      <c r="C665">
        <v>5</v>
      </c>
      <c r="D665">
        <v>5</v>
      </c>
      <c r="E665" t="s">
        <v>25</v>
      </c>
      <c r="F665">
        <v>200</v>
      </c>
      <c r="G665">
        <v>3</v>
      </c>
      <c r="H665">
        <v>20</v>
      </c>
      <c r="I665" t="s">
        <v>26</v>
      </c>
      <c r="J665" s="3">
        <v>410.25376999999997</v>
      </c>
      <c r="K665" s="3" t="s">
        <v>24</v>
      </c>
      <c r="L665" s="3" t="s">
        <v>24</v>
      </c>
      <c r="M665" s="3" t="s">
        <v>24</v>
      </c>
      <c r="N665" s="3">
        <v>23577.938999999998</v>
      </c>
      <c r="O665" s="4"/>
      <c r="P665" s="4"/>
      <c r="Q665" s="4"/>
      <c r="R665" s="5">
        <v>0</v>
      </c>
      <c r="S665">
        <v>0</v>
      </c>
      <c r="T665" t="b">
        <v>1</v>
      </c>
      <c r="U665">
        <v>-1</v>
      </c>
      <c r="V665" s="4">
        <v>15.24</v>
      </c>
    </row>
    <row r="666" spans="1:22" hidden="1" x14ac:dyDescent="0.35">
      <c r="A666" t="s">
        <v>27</v>
      </c>
      <c r="B666">
        <v>3</v>
      </c>
      <c r="C666">
        <v>5</v>
      </c>
      <c r="D666">
        <v>10</v>
      </c>
      <c r="E666" t="s">
        <v>22</v>
      </c>
      <c r="F666">
        <v>50</v>
      </c>
      <c r="G666">
        <v>1</v>
      </c>
      <c r="H666">
        <v>20</v>
      </c>
      <c r="I666" t="s">
        <v>26</v>
      </c>
      <c r="J666" s="3">
        <v>794.40859</v>
      </c>
      <c r="K666" s="3">
        <v>23577.938999999998</v>
      </c>
      <c r="L666" s="3">
        <v>25440.276000000002</v>
      </c>
      <c r="M666" s="3">
        <v>23577.938999999998</v>
      </c>
      <c r="N666" s="3">
        <v>23577.938999999998</v>
      </c>
      <c r="O666" s="4">
        <v>0</v>
      </c>
      <c r="P666" s="4">
        <v>7.8986000000000001</v>
      </c>
      <c r="Q666" s="4">
        <v>0</v>
      </c>
      <c r="R666" s="5">
        <v>2.9999999999999997E-4</v>
      </c>
      <c r="S666">
        <v>3</v>
      </c>
      <c r="T666" t="b">
        <v>0</v>
      </c>
      <c r="U666">
        <v>3</v>
      </c>
      <c r="V666" s="4">
        <v>21.11</v>
      </c>
    </row>
    <row r="667" spans="1:22" hidden="1" x14ac:dyDescent="0.35">
      <c r="A667" t="s">
        <v>27</v>
      </c>
      <c r="B667">
        <v>3</v>
      </c>
      <c r="C667">
        <v>5</v>
      </c>
      <c r="D667">
        <v>10</v>
      </c>
      <c r="E667" t="s">
        <v>22</v>
      </c>
      <c r="F667">
        <v>50</v>
      </c>
      <c r="G667">
        <v>3</v>
      </c>
      <c r="H667">
        <v>20</v>
      </c>
      <c r="I667" t="s">
        <v>26</v>
      </c>
      <c r="J667" s="3">
        <v>234.60620399999999</v>
      </c>
      <c r="K667" s="3">
        <v>23577.938999999998</v>
      </c>
      <c r="L667" s="3">
        <v>27637.697</v>
      </c>
      <c r="M667" s="3">
        <v>23577.938999999998</v>
      </c>
      <c r="N667" s="3">
        <v>23577.938999999998</v>
      </c>
      <c r="O667" s="4">
        <v>0</v>
      </c>
      <c r="P667" s="4">
        <v>17.218499999999999</v>
      </c>
      <c r="Q667" s="4">
        <v>0</v>
      </c>
      <c r="R667" s="5">
        <v>2.07E-2</v>
      </c>
      <c r="S667">
        <v>12</v>
      </c>
      <c r="T667" t="b">
        <v>0</v>
      </c>
      <c r="U667">
        <v>12</v>
      </c>
      <c r="V667" s="4">
        <v>61.15</v>
      </c>
    </row>
    <row r="668" spans="1:22" hidden="1" x14ac:dyDescent="0.35">
      <c r="A668" t="s">
        <v>27</v>
      </c>
      <c r="B668">
        <v>3</v>
      </c>
      <c r="C668">
        <v>5</v>
      </c>
      <c r="D668">
        <v>10</v>
      </c>
      <c r="E668" t="s">
        <v>22</v>
      </c>
      <c r="F668">
        <v>200</v>
      </c>
      <c r="G668">
        <v>1</v>
      </c>
      <c r="H668">
        <v>20</v>
      </c>
      <c r="I668" t="s">
        <v>26</v>
      </c>
      <c r="J668" s="3">
        <v>793.54411900000002</v>
      </c>
      <c r="K668" s="3">
        <v>23577.938999999998</v>
      </c>
      <c r="L668" s="3">
        <v>25440.276000000002</v>
      </c>
      <c r="M668" s="3">
        <v>23577.938999999998</v>
      </c>
      <c r="N668" s="3">
        <v>23577.938999999998</v>
      </c>
      <c r="O668" s="4">
        <v>0</v>
      </c>
      <c r="P668" s="4">
        <v>7.8986000000000001</v>
      </c>
      <c r="Q668" s="4">
        <v>0</v>
      </c>
      <c r="R668" s="5">
        <v>2.9999999999999997E-4</v>
      </c>
      <c r="S668">
        <v>3</v>
      </c>
      <c r="T668" t="b">
        <v>0</v>
      </c>
      <c r="U668">
        <v>3</v>
      </c>
      <c r="V668" s="4">
        <v>33.67</v>
      </c>
    </row>
    <row r="669" spans="1:22" hidden="1" x14ac:dyDescent="0.35">
      <c r="A669" t="s">
        <v>27</v>
      </c>
      <c r="B669">
        <v>3</v>
      </c>
      <c r="C669">
        <v>5</v>
      </c>
      <c r="D669">
        <v>10</v>
      </c>
      <c r="E669" t="s">
        <v>22</v>
      </c>
      <c r="F669">
        <v>200</v>
      </c>
      <c r="G669">
        <v>3</v>
      </c>
      <c r="H669">
        <v>20</v>
      </c>
      <c r="I669" t="s">
        <v>26</v>
      </c>
      <c r="J669" s="3">
        <v>136.687218</v>
      </c>
      <c r="K669" s="3">
        <v>23577.938999999998</v>
      </c>
      <c r="L669" s="3">
        <v>27637.697</v>
      </c>
      <c r="M669" s="3">
        <v>23577.938999999998</v>
      </c>
      <c r="N669" s="3">
        <v>23577.938999999998</v>
      </c>
      <c r="O669" s="4">
        <v>0</v>
      </c>
      <c r="P669" s="4">
        <v>17.218499999999999</v>
      </c>
      <c r="Q669" s="4">
        <v>0</v>
      </c>
      <c r="R669" s="5">
        <v>5.3400000000000003E-2</v>
      </c>
      <c r="S669">
        <v>12</v>
      </c>
      <c r="T669" t="b">
        <v>0</v>
      </c>
      <c r="U669">
        <v>5</v>
      </c>
      <c r="V669" s="4">
        <v>115.77</v>
      </c>
    </row>
    <row r="670" spans="1:22" hidden="1" x14ac:dyDescent="0.35">
      <c r="A670" t="s">
        <v>27</v>
      </c>
      <c r="B670">
        <v>3</v>
      </c>
      <c r="C670">
        <v>5</v>
      </c>
      <c r="D670">
        <v>10</v>
      </c>
      <c r="E670" t="s">
        <v>25</v>
      </c>
      <c r="F670">
        <v>50</v>
      </c>
      <c r="G670">
        <v>1</v>
      </c>
      <c r="H670">
        <v>20</v>
      </c>
      <c r="I670" t="s">
        <v>26</v>
      </c>
      <c r="J670" s="3">
        <v>806.21930299999997</v>
      </c>
      <c r="K670" s="3" t="s">
        <v>24</v>
      </c>
      <c r="L670" s="3" t="s">
        <v>24</v>
      </c>
      <c r="M670" s="3" t="s">
        <v>24</v>
      </c>
      <c r="N670" s="3">
        <v>23577.938999999998</v>
      </c>
      <c r="O670" s="4"/>
      <c r="P670" s="4"/>
      <c r="Q670" s="4"/>
      <c r="R670" s="5">
        <v>0</v>
      </c>
      <c r="S670">
        <v>0</v>
      </c>
      <c r="T670" t="b">
        <v>1</v>
      </c>
      <c r="U670">
        <v>-1</v>
      </c>
      <c r="V670" s="4">
        <v>5.52</v>
      </c>
    </row>
    <row r="671" spans="1:22" hidden="1" x14ac:dyDescent="0.35">
      <c r="A671" t="s">
        <v>27</v>
      </c>
      <c r="B671">
        <v>3</v>
      </c>
      <c r="C671">
        <v>5</v>
      </c>
      <c r="D671">
        <v>10</v>
      </c>
      <c r="E671" t="s">
        <v>25</v>
      </c>
      <c r="F671">
        <v>50</v>
      </c>
      <c r="G671">
        <v>3</v>
      </c>
      <c r="H671">
        <v>20</v>
      </c>
      <c r="I671" t="s">
        <v>26</v>
      </c>
      <c r="J671" s="3">
        <v>806.21930299999997</v>
      </c>
      <c r="K671" s="3" t="s">
        <v>24</v>
      </c>
      <c r="L671" s="3" t="s">
        <v>24</v>
      </c>
      <c r="M671" s="3" t="s">
        <v>24</v>
      </c>
      <c r="N671" s="3">
        <v>23577.938999999998</v>
      </c>
      <c r="O671" s="4"/>
      <c r="P671" s="4"/>
      <c r="Q671" s="4"/>
      <c r="R671" s="5">
        <v>0</v>
      </c>
      <c r="S671">
        <v>0</v>
      </c>
      <c r="T671" t="b">
        <v>1</v>
      </c>
      <c r="U671">
        <v>-1</v>
      </c>
      <c r="V671" s="4">
        <v>15.46</v>
      </c>
    </row>
    <row r="672" spans="1:22" hidden="1" x14ac:dyDescent="0.35">
      <c r="A672" t="s">
        <v>27</v>
      </c>
      <c r="B672">
        <v>3</v>
      </c>
      <c r="C672">
        <v>5</v>
      </c>
      <c r="D672">
        <v>10</v>
      </c>
      <c r="E672" t="s">
        <v>25</v>
      </c>
      <c r="F672">
        <v>200</v>
      </c>
      <c r="G672">
        <v>1</v>
      </c>
      <c r="H672">
        <v>20</v>
      </c>
      <c r="I672" t="s">
        <v>26</v>
      </c>
      <c r="J672" s="3">
        <v>806.21930299999997</v>
      </c>
      <c r="K672" s="3" t="s">
        <v>24</v>
      </c>
      <c r="L672" s="3" t="s">
        <v>24</v>
      </c>
      <c r="M672" s="3" t="s">
        <v>24</v>
      </c>
      <c r="N672" s="3">
        <v>23577.938999999998</v>
      </c>
      <c r="O672" s="4"/>
      <c r="P672" s="4"/>
      <c r="Q672" s="4"/>
      <c r="R672" s="5">
        <v>0</v>
      </c>
      <c r="S672">
        <v>0</v>
      </c>
      <c r="T672" t="b">
        <v>1</v>
      </c>
      <c r="U672">
        <v>-1</v>
      </c>
      <c r="V672" s="4">
        <v>5.43</v>
      </c>
    </row>
    <row r="673" spans="1:22" hidden="1" x14ac:dyDescent="0.35">
      <c r="A673" t="s">
        <v>27</v>
      </c>
      <c r="B673">
        <v>3</v>
      </c>
      <c r="C673">
        <v>5</v>
      </c>
      <c r="D673">
        <v>10</v>
      </c>
      <c r="E673" t="s">
        <v>25</v>
      </c>
      <c r="F673">
        <v>200</v>
      </c>
      <c r="G673">
        <v>3</v>
      </c>
      <c r="H673">
        <v>20</v>
      </c>
      <c r="I673" t="s">
        <v>26</v>
      </c>
      <c r="J673" s="3">
        <v>806.21930299999997</v>
      </c>
      <c r="K673" s="3" t="s">
        <v>24</v>
      </c>
      <c r="L673" s="3" t="s">
        <v>24</v>
      </c>
      <c r="M673" s="3" t="s">
        <v>24</v>
      </c>
      <c r="N673" s="3">
        <v>23577.938999999998</v>
      </c>
      <c r="O673" s="4"/>
      <c r="P673" s="4"/>
      <c r="Q673" s="4"/>
      <c r="R673" s="5">
        <v>0</v>
      </c>
      <c r="S673">
        <v>0</v>
      </c>
      <c r="T673" t="b">
        <v>1</v>
      </c>
      <c r="U673">
        <v>-1</v>
      </c>
      <c r="V673" s="4">
        <v>15.39</v>
      </c>
    </row>
    <row r="674" spans="1:22" hidden="1" x14ac:dyDescent="0.35">
      <c r="A674" t="s">
        <v>27</v>
      </c>
      <c r="B674">
        <v>4</v>
      </c>
      <c r="C674">
        <v>1</v>
      </c>
      <c r="D674">
        <v>2</v>
      </c>
      <c r="E674" t="s">
        <v>22</v>
      </c>
      <c r="F674">
        <v>50</v>
      </c>
      <c r="G674">
        <v>1</v>
      </c>
      <c r="H674">
        <v>20</v>
      </c>
      <c r="I674" t="s">
        <v>26</v>
      </c>
      <c r="J674" s="3">
        <v>71.166841000000005</v>
      </c>
      <c r="K674" s="3">
        <v>29375.853999999999</v>
      </c>
      <c r="L674" s="3">
        <v>29375.853999999999</v>
      </c>
      <c r="M674" s="3">
        <v>29375.853999999999</v>
      </c>
      <c r="N674" s="3">
        <v>29375.853999999999</v>
      </c>
      <c r="O674" s="4">
        <v>0</v>
      </c>
      <c r="P674" s="4">
        <v>0</v>
      </c>
      <c r="Q674" s="4">
        <v>0</v>
      </c>
      <c r="R674" s="5">
        <v>1.9E-3</v>
      </c>
      <c r="S674">
        <v>1</v>
      </c>
      <c r="T674" t="b">
        <v>0</v>
      </c>
      <c r="U674">
        <v>1</v>
      </c>
      <c r="V674" s="4">
        <v>6.55</v>
      </c>
    </row>
    <row r="675" spans="1:22" hidden="1" x14ac:dyDescent="0.35">
      <c r="A675" t="s">
        <v>27</v>
      </c>
      <c r="B675">
        <v>4</v>
      </c>
      <c r="C675">
        <v>1</v>
      </c>
      <c r="D675">
        <v>2</v>
      </c>
      <c r="E675" t="s">
        <v>22</v>
      </c>
      <c r="F675">
        <v>50</v>
      </c>
      <c r="G675">
        <v>3</v>
      </c>
      <c r="H675">
        <v>20</v>
      </c>
      <c r="I675" t="s">
        <v>26</v>
      </c>
      <c r="J675" s="3">
        <v>70.110833</v>
      </c>
      <c r="K675" s="3">
        <v>29375.853999999999</v>
      </c>
      <c r="L675" s="3">
        <v>29375.853999999999</v>
      </c>
      <c r="M675" s="3">
        <v>29375.853999999999</v>
      </c>
      <c r="N675" s="3">
        <v>29375.853999999999</v>
      </c>
      <c r="O675" s="4">
        <v>0</v>
      </c>
      <c r="P675" s="4">
        <v>0</v>
      </c>
      <c r="Q675" s="4">
        <v>0</v>
      </c>
      <c r="R675" s="5">
        <v>4.4000000000000003E-3</v>
      </c>
      <c r="S675">
        <v>1</v>
      </c>
      <c r="T675" t="b">
        <v>0</v>
      </c>
      <c r="U675">
        <v>1</v>
      </c>
      <c r="V675" s="4">
        <v>19.22</v>
      </c>
    </row>
    <row r="676" spans="1:22" hidden="1" x14ac:dyDescent="0.35">
      <c r="A676" t="s">
        <v>27</v>
      </c>
      <c r="B676">
        <v>4</v>
      </c>
      <c r="C676">
        <v>1</v>
      </c>
      <c r="D676">
        <v>2</v>
      </c>
      <c r="E676" t="s">
        <v>22</v>
      </c>
      <c r="F676">
        <v>200</v>
      </c>
      <c r="G676">
        <v>1</v>
      </c>
      <c r="H676">
        <v>20</v>
      </c>
      <c r="I676" t="s">
        <v>26</v>
      </c>
      <c r="J676" s="3">
        <v>71.166841000000005</v>
      </c>
      <c r="K676" s="3">
        <v>29375.853999999999</v>
      </c>
      <c r="L676" s="3">
        <v>29375.853999999999</v>
      </c>
      <c r="M676" s="3">
        <v>29375.853999999999</v>
      </c>
      <c r="N676" s="3">
        <v>29375.853999999999</v>
      </c>
      <c r="O676" s="4">
        <v>0</v>
      </c>
      <c r="P676" s="4">
        <v>0</v>
      </c>
      <c r="Q676" s="4">
        <v>0</v>
      </c>
      <c r="R676" s="5">
        <v>1.9E-3</v>
      </c>
      <c r="S676">
        <v>1</v>
      </c>
      <c r="T676" t="b">
        <v>0</v>
      </c>
      <c r="U676">
        <v>1</v>
      </c>
      <c r="V676" s="4">
        <v>6.56</v>
      </c>
    </row>
    <row r="677" spans="1:22" hidden="1" x14ac:dyDescent="0.35">
      <c r="A677" t="s">
        <v>27</v>
      </c>
      <c r="B677">
        <v>4</v>
      </c>
      <c r="C677">
        <v>1</v>
      </c>
      <c r="D677">
        <v>2</v>
      </c>
      <c r="E677" t="s">
        <v>22</v>
      </c>
      <c r="F677">
        <v>200</v>
      </c>
      <c r="G677">
        <v>3</v>
      </c>
      <c r="H677">
        <v>20</v>
      </c>
      <c r="I677" t="s">
        <v>26</v>
      </c>
      <c r="J677" s="3">
        <v>70.110833</v>
      </c>
      <c r="K677" s="3">
        <v>29375.853999999999</v>
      </c>
      <c r="L677" s="3">
        <v>29375.853999999999</v>
      </c>
      <c r="M677" s="3">
        <v>29375.853999999999</v>
      </c>
      <c r="N677" s="3">
        <v>29375.853999999999</v>
      </c>
      <c r="O677" s="4">
        <v>0</v>
      </c>
      <c r="P677" s="4">
        <v>0</v>
      </c>
      <c r="Q677" s="4">
        <v>0</v>
      </c>
      <c r="R677" s="5">
        <v>4.4000000000000003E-3</v>
      </c>
      <c r="S677">
        <v>1</v>
      </c>
      <c r="T677" t="b">
        <v>0</v>
      </c>
      <c r="U677">
        <v>1</v>
      </c>
      <c r="V677" s="4">
        <v>19.559999999999999</v>
      </c>
    </row>
    <row r="678" spans="1:22" hidden="1" x14ac:dyDescent="0.35">
      <c r="A678" t="s">
        <v>27</v>
      </c>
      <c r="B678">
        <v>4</v>
      </c>
      <c r="C678">
        <v>1</v>
      </c>
      <c r="D678">
        <v>2</v>
      </c>
      <c r="E678" t="s">
        <v>25</v>
      </c>
      <c r="F678">
        <v>50</v>
      </c>
      <c r="G678">
        <v>1</v>
      </c>
      <c r="H678">
        <v>20</v>
      </c>
      <c r="I678" t="s">
        <v>26</v>
      </c>
      <c r="J678" s="3">
        <v>232.40547699999999</v>
      </c>
      <c r="K678" s="3" t="s">
        <v>24</v>
      </c>
      <c r="L678" s="3" t="s">
        <v>24</v>
      </c>
      <c r="M678" s="3" t="s">
        <v>24</v>
      </c>
      <c r="N678" s="3">
        <v>29375.853999999999</v>
      </c>
      <c r="O678" s="4"/>
      <c r="P678" s="4"/>
      <c r="Q678" s="4"/>
      <c r="R678" s="5">
        <v>0</v>
      </c>
      <c r="S678">
        <v>0</v>
      </c>
      <c r="T678" t="b">
        <v>1</v>
      </c>
      <c r="U678">
        <v>-1</v>
      </c>
      <c r="V678" s="4">
        <v>1.19</v>
      </c>
    </row>
    <row r="679" spans="1:22" hidden="1" x14ac:dyDescent="0.35">
      <c r="A679" t="s">
        <v>27</v>
      </c>
      <c r="B679">
        <v>4</v>
      </c>
      <c r="C679">
        <v>1</v>
      </c>
      <c r="D679">
        <v>2</v>
      </c>
      <c r="E679" t="s">
        <v>25</v>
      </c>
      <c r="F679">
        <v>50</v>
      </c>
      <c r="G679">
        <v>3</v>
      </c>
      <c r="H679">
        <v>20</v>
      </c>
      <c r="I679" t="s">
        <v>26</v>
      </c>
      <c r="J679" s="3">
        <v>211.370498</v>
      </c>
      <c r="K679" s="3" t="s">
        <v>24</v>
      </c>
      <c r="L679" s="3" t="s">
        <v>24</v>
      </c>
      <c r="M679" s="3" t="s">
        <v>24</v>
      </c>
      <c r="N679" s="3">
        <v>29375.853999999999</v>
      </c>
      <c r="O679" s="4"/>
      <c r="P679" s="4"/>
      <c r="Q679" s="4"/>
      <c r="R679" s="5">
        <v>0</v>
      </c>
      <c r="S679">
        <v>0</v>
      </c>
      <c r="T679" t="b">
        <v>1</v>
      </c>
      <c r="U679">
        <v>-1</v>
      </c>
      <c r="V679" s="4">
        <v>2.66</v>
      </c>
    </row>
    <row r="680" spans="1:22" hidden="1" x14ac:dyDescent="0.35">
      <c r="A680" t="s">
        <v>27</v>
      </c>
      <c r="B680">
        <v>4</v>
      </c>
      <c r="C680">
        <v>1</v>
      </c>
      <c r="D680">
        <v>2</v>
      </c>
      <c r="E680" t="s">
        <v>25</v>
      </c>
      <c r="F680">
        <v>200</v>
      </c>
      <c r="G680">
        <v>1</v>
      </c>
      <c r="H680">
        <v>20</v>
      </c>
      <c r="I680" t="s">
        <v>26</v>
      </c>
      <c r="J680" s="3">
        <v>232.40547699999999</v>
      </c>
      <c r="K680" s="3" t="s">
        <v>24</v>
      </c>
      <c r="L680" s="3" t="s">
        <v>24</v>
      </c>
      <c r="M680" s="3" t="s">
        <v>24</v>
      </c>
      <c r="N680" s="3">
        <v>29375.853999999999</v>
      </c>
      <c r="O680" s="4"/>
      <c r="P680" s="4"/>
      <c r="Q680" s="4"/>
      <c r="R680" s="5">
        <v>0</v>
      </c>
      <c r="S680">
        <v>0</v>
      </c>
      <c r="T680" t="b">
        <v>1</v>
      </c>
      <c r="U680">
        <v>-1</v>
      </c>
      <c r="V680" s="4">
        <v>1.21</v>
      </c>
    </row>
    <row r="681" spans="1:22" hidden="1" x14ac:dyDescent="0.35">
      <c r="A681" t="s">
        <v>27</v>
      </c>
      <c r="B681">
        <v>4</v>
      </c>
      <c r="C681">
        <v>1</v>
      </c>
      <c r="D681">
        <v>2</v>
      </c>
      <c r="E681" t="s">
        <v>25</v>
      </c>
      <c r="F681">
        <v>200</v>
      </c>
      <c r="G681">
        <v>3</v>
      </c>
      <c r="H681">
        <v>20</v>
      </c>
      <c r="I681" t="s">
        <v>26</v>
      </c>
      <c r="J681" s="3">
        <v>211.370498</v>
      </c>
      <c r="K681" s="3" t="s">
        <v>24</v>
      </c>
      <c r="L681" s="3" t="s">
        <v>24</v>
      </c>
      <c r="M681" s="3" t="s">
        <v>24</v>
      </c>
      <c r="N681" s="3">
        <v>29375.853999999999</v>
      </c>
      <c r="O681" s="4"/>
      <c r="P681" s="4"/>
      <c r="Q681" s="4"/>
      <c r="R681" s="5">
        <v>0</v>
      </c>
      <c r="S681">
        <v>0</v>
      </c>
      <c r="T681" t="b">
        <v>1</v>
      </c>
      <c r="U681">
        <v>-1</v>
      </c>
      <c r="V681" s="4">
        <v>2.65</v>
      </c>
    </row>
    <row r="682" spans="1:22" hidden="1" x14ac:dyDescent="0.35">
      <c r="A682" t="s">
        <v>27</v>
      </c>
      <c r="B682">
        <v>4</v>
      </c>
      <c r="C682">
        <v>1</v>
      </c>
      <c r="D682">
        <v>5</v>
      </c>
      <c r="E682" t="s">
        <v>22</v>
      </c>
      <c r="F682">
        <v>50</v>
      </c>
      <c r="G682">
        <v>1</v>
      </c>
      <c r="H682">
        <v>20</v>
      </c>
      <c r="I682" t="s">
        <v>26</v>
      </c>
      <c r="J682" s="3">
        <v>167.61709300000001</v>
      </c>
      <c r="K682" s="3">
        <v>29375.853999999999</v>
      </c>
      <c r="L682" s="3">
        <v>29375.853999999999</v>
      </c>
      <c r="M682" s="3">
        <v>29375.853999999999</v>
      </c>
      <c r="N682" s="3">
        <v>29375.853999999999</v>
      </c>
      <c r="O682" s="4">
        <v>0</v>
      </c>
      <c r="P682" s="4">
        <v>0</v>
      </c>
      <c r="Q682" s="4">
        <v>0</v>
      </c>
      <c r="R682" s="5">
        <v>6.1999999999999998E-3</v>
      </c>
      <c r="S682">
        <v>1</v>
      </c>
      <c r="T682" t="b">
        <v>0</v>
      </c>
      <c r="U682">
        <v>1</v>
      </c>
      <c r="V682" s="4">
        <v>6.45</v>
      </c>
    </row>
    <row r="683" spans="1:22" hidden="1" x14ac:dyDescent="0.35">
      <c r="A683" t="s">
        <v>27</v>
      </c>
      <c r="B683">
        <v>4</v>
      </c>
      <c r="C683">
        <v>1</v>
      </c>
      <c r="D683">
        <v>5</v>
      </c>
      <c r="E683" t="s">
        <v>22</v>
      </c>
      <c r="F683">
        <v>50</v>
      </c>
      <c r="G683">
        <v>3</v>
      </c>
      <c r="H683">
        <v>20</v>
      </c>
      <c r="I683" t="s">
        <v>26</v>
      </c>
      <c r="J683" s="3">
        <v>167.61709300000001</v>
      </c>
      <c r="K683" s="3">
        <v>29375.853999999999</v>
      </c>
      <c r="L683" s="3">
        <v>29375.853999999999</v>
      </c>
      <c r="M683" s="3">
        <v>29375.853999999999</v>
      </c>
      <c r="N683" s="3">
        <v>29375.853999999999</v>
      </c>
      <c r="O683" s="4">
        <v>0</v>
      </c>
      <c r="P683" s="4">
        <v>0</v>
      </c>
      <c r="Q683" s="4">
        <v>0</v>
      </c>
      <c r="R683" s="5">
        <v>6.1999999999999998E-3</v>
      </c>
      <c r="S683">
        <v>1</v>
      </c>
      <c r="T683" t="b">
        <v>0</v>
      </c>
      <c r="U683">
        <v>1</v>
      </c>
      <c r="V683" s="4">
        <v>21.22</v>
      </c>
    </row>
    <row r="684" spans="1:22" hidden="1" x14ac:dyDescent="0.35">
      <c r="A684" t="s">
        <v>27</v>
      </c>
      <c r="B684">
        <v>4</v>
      </c>
      <c r="C684">
        <v>1</v>
      </c>
      <c r="D684">
        <v>5</v>
      </c>
      <c r="E684" t="s">
        <v>22</v>
      </c>
      <c r="F684">
        <v>200</v>
      </c>
      <c r="G684">
        <v>1</v>
      </c>
      <c r="H684">
        <v>20</v>
      </c>
      <c r="I684" t="s">
        <v>26</v>
      </c>
      <c r="J684" s="3">
        <v>167.61709300000001</v>
      </c>
      <c r="K684" s="3">
        <v>29375.853999999999</v>
      </c>
      <c r="L684" s="3">
        <v>29375.853999999999</v>
      </c>
      <c r="M684" s="3">
        <v>29375.853999999999</v>
      </c>
      <c r="N684" s="3">
        <v>29375.853999999999</v>
      </c>
      <c r="O684" s="4">
        <v>0</v>
      </c>
      <c r="P684" s="4">
        <v>0</v>
      </c>
      <c r="Q684" s="4">
        <v>0</v>
      </c>
      <c r="R684" s="5">
        <v>6.1999999999999998E-3</v>
      </c>
      <c r="S684">
        <v>1</v>
      </c>
      <c r="T684" t="b">
        <v>0</v>
      </c>
      <c r="U684">
        <v>1</v>
      </c>
      <c r="V684" s="4">
        <v>6.44</v>
      </c>
    </row>
    <row r="685" spans="1:22" hidden="1" x14ac:dyDescent="0.35">
      <c r="A685" t="s">
        <v>27</v>
      </c>
      <c r="B685">
        <v>4</v>
      </c>
      <c r="C685">
        <v>1</v>
      </c>
      <c r="D685">
        <v>5</v>
      </c>
      <c r="E685" t="s">
        <v>22</v>
      </c>
      <c r="F685">
        <v>200</v>
      </c>
      <c r="G685">
        <v>3</v>
      </c>
      <c r="H685">
        <v>20</v>
      </c>
      <c r="I685" t="s">
        <v>26</v>
      </c>
      <c r="J685" s="3">
        <v>167.61709300000001</v>
      </c>
      <c r="K685" s="3">
        <v>29375.853999999999</v>
      </c>
      <c r="L685" s="3">
        <v>29375.853999999999</v>
      </c>
      <c r="M685" s="3">
        <v>29375.853999999999</v>
      </c>
      <c r="N685" s="3">
        <v>29375.853999999999</v>
      </c>
      <c r="O685" s="4">
        <v>0</v>
      </c>
      <c r="P685" s="4">
        <v>0</v>
      </c>
      <c r="Q685" s="4">
        <v>0</v>
      </c>
      <c r="R685" s="5">
        <v>6.1999999999999998E-3</v>
      </c>
      <c r="S685">
        <v>1</v>
      </c>
      <c r="T685" t="b">
        <v>0</v>
      </c>
      <c r="U685">
        <v>1</v>
      </c>
      <c r="V685" s="4">
        <v>21.41</v>
      </c>
    </row>
    <row r="686" spans="1:22" hidden="1" x14ac:dyDescent="0.35">
      <c r="A686" t="s">
        <v>27</v>
      </c>
      <c r="B686">
        <v>4</v>
      </c>
      <c r="C686">
        <v>1</v>
      </c>
      <c r="D686">
        <v>5</v>
      </c>
      <c r="E686" t="s">
        <v>25</v>
      </c>
      <c r="F686">
        <v>50</v>
      </c>
      <c r="G686">
        <v>1</v>
      </c>
      <c r="H686">
        <v>20</v>
      </c>
      <c r="I686" t="s">
        <v>26</v>
      </c>
      <c r="J686" s="3">
        <v>579.27401599999996</v>
      </c>
      <c r="K686" s="3" t="s">
        <v>24</v>
      </c>
      <c r="L686" s="3" t="s">
        <v>24</v>
      </c>
      <c r="M686" s="3" t="s">
        <v>24</v>
      </c>
      <c r="N686" s="3">
        <v>29375.853999999999</v>
      </c>
      <c r="O686" s="4"/>
      <c r="P686" s="4"/>
      <c r="Q686" s="4"/>
      <c r="R686" s="5">
        <v>0</v>
      </c>
      <c r="S686">
        <v>0</v>
      </c>
      <c r="T686" t="b">
        <v>1</v>
      </c>
      <c r="U686">
        <v>-1</v>
      </c>
      <c r="V686" s="4">
        <v>1.19</v>
      </c>
    </row>
    <row r="687" spans="1:22" hidden="1" x14ac:dyDescent="0.35">
      <c r="A687" t="s">
        <v>27</v>
      </c>
      <c r="B687">
        <v>4</v>
      </c>
      <c r="C687">
        <v>1</v>
      </c>
      <c r="D687">
        <v>5</v>
      </c>
      <c r="E687" t="s">
        <v>25</v>
      </c>
      <c r="F687">
        <v>50</v>
      </c>
      <c r="G687">
        <v>3</v>
      </c>
      <c r="H687">
        <v>20</v>
      </c>
      <c r="I687" t="s">
        <v>26</v>
      </c>
      <c r="J687" s="3">
        <v>521.08711100000005</v>
      </c>
      <c r="K687" s="3" t="s">
        <v>24</v>
      </c>
      <c r="L687" s="3" t="s">
        <v>24</v>
      </c>
      <c r="M687" s="3" t="s">
        <v>24</v>
      </c>
      <c r="N687" s="3">
        <v>29375.853999999999</v>
      </c>
      <c r="O687" s="4"/>
      <c r="P687" s="4"/>
      <c r="Q687" s="4"/>
      <c r="R687" s="5">
        <v>0</v>
      </c>
      <c r="S687">
        <v>0</v>
      </c>
      <c r="T687" t="b">
        <v>1</v>
      </c>
      <c r="U687">
        <v>-1</v>
      </c>
      <c r="V687" s="4">
        <v>2.63</v>
      </c>
    </row>
    <row r="688" spans="1:22" hidden="1" x14ac:dyDescent="0.35">
      <c r="A688" t="s">
        <v>27</v>
      </c>
      <c r="B688">
        <v>4</v>
      </c>
      <c r="C688">
        <v>1</v>
      </c>
      <c r="D688">
        <v>5</v>
      </c>
      <c r="E688" t="s">
        <v>25</v>
      </c>
      <c r="F688">
        <v>200</v>
      </c>
      <c r="G688">
        <v>1</v>
      </c>
      <c r="H688">
        <v>20</v>
      </c>
      <c r="I688" t="s">
        <v>26</v>
      </c>
      <c r="J688" s="3">
        <v>579.27401599999996</v>
      </c>
      <c r="K688" s="3" t="s">
        <v>24</v>
      </c>
      <c r="L688" s="3" t="s">
        <v>24</v>
      </c>
      <c r="M688" s="3" t="s">
        <v>24</v>
      </c>
      <c r="N688" s="3">
        <v>29375.853999999999</v>
      </c>
      <c r="O688" s="4"/>
      <c r="P688" s="4"/>
      <c r="Q688" s="4"/>
      <c r="R688" s="5">
        <v>0</v>
      </c>
      <c r="S688">
        <v>0</v>
      </c>
      <c r="T688" t="b">
        <v>1</v>
      </c>
      <c r="U688">
        <v>-1</v>
      </c>
      <c r="V688" s="4">
        <v>1.17</v>
      </c>
    </row>
    <row r="689" spans="1:22" hidden="1" x14ac:dyDescent="0.35">
      <c r="A689" t="s">
        <v>27</v>
      </c>
      <c r="B689">
        <v>4</v>
      </c>
      <c r="C689">
        <v>1</v>
      </c>
      <c r="D689">
        <v>5</v>
      </c>
      <c r="E689" t="s">
        <v>25</v>
      </c>
      <c r="F689">
        <v>200</v>
      </c>
      <c r="G689">
        <v>3</v>
      </c>
      <c r="H689">
        <v>20</v>
      </c>
      <c r="I689" t="s">
        <v>26</v>
      </c>
      <c r="J689" s="3">
        <v>521.08711100000005</v>
      </c>
      <c r="K689" s="3" t="s">
        <v>24</v>
      </c>
      <c r="L689" s="3" t="s">
        <v>24</v>
      </c>
      <c r="M689" s="3" t="s">
        <v>24</v>
      </c>
      <c r="N689" s="3">
        <v>29375.853999999999</v>
      </c>
      <c r="O689" s="4"/>
      <c r="P689" s="4"/>
      <c r="Q689" s="4"/>
      <c r="R689" s="5">
        <v>0</v>
      </c>
      <c r="S689">
        <v>0</v>
      </c>
      <c r="T689" t="b">
        <v>1</v>
      </c>
      <c r="U689">
        <v>-1</v>
      </c>
      <c r="V689" s="4">
        <v>2.66</v>
      </c>
    </row>
    <row r="690" spans="1:22" hidden="1" x14ac:dyDescent="0.35">
      <c r="A690" t="s">
        <v>27</v>
      </c>
      <c r="B690">
        <v>4</v>
      </c>
      <c r="C690">
        <v>1</v>
      </c>
      <c r="D690">
        <v>10</v>
      </c>
      <c r="E690" t="s">
        <v>22</v>
      </c>
      <c r="F690">
        <v>50</v>
      </c>
      <c r="G690">
        <v>1</v>
      </c>
      <c r="H690">
        <v>20</v>
      </c>
      <c r="I690" t="s">
        <v>26</v>
      </c>
      <c r="J690" s="3">
        <v>334.45779099999999</v>
      </c>
      <c r="K690" s="3">
        <v>29375.853999999999</v>
      </c>
      <c r="L690" s="3">
        <v>29375.853999999999</v>
      </c>
      <c r="M690" s="3">
        <v>29375.853999999999</v>
      </c>
      <c r="N690" s="3">
        <v>29375.853999999999</v>
      </c>
      <c r="O690" s="4">
        <v>0</v>
      </c>
      <c r="P690" s="4">
        <v>0</v>
      </c>
      <c r="Q690" s="4">
        <v>0</v>
      </c>
      <c r="R690" s="5">
        <v>5.3E-3</v>
      </c>
      <c r="S690">
        <v>1</v>
      </c>
      <c r="T690" t="b">
        <v>0</v>
      </c>
      <c r="U690">
        <v>1</v>
      </c>
      <c r="V690" s="4">
        <v>5.96</v>
      </c>
    </row>
    <row r="691" spans="1:22" hidden="1" x14ac:dyDescent="0.35">
      <c r="A691" t="s">
        <v>27</v>
      </c>
      <c r="B691">
        <v>4</v>
      </c>
      <c r="C691">
        <v>1</v>
      </c>
      <c r="D691">
        <v>10</v>
      </c>
      <c r="E691" t="s">
        <v>22</v>
      </c>
      <c r="F691">
        <v>50</v>
      </c>
      <c r="G691">
        <v>3</v>
      </c>
      <c r="H691">
        <v>20</v>
      </c>
      <c r="I691" t="s">
        <v>26</v>
      </c>
      <c r="J691" s="3">
        <v>334.45779099999999</v>
      </c>
      <c r="K691" s="3">
        <v>29375.853999999999</v>
      </c>
      <c r="L691" s="3">
        <v>29375.853999999999</v>
      </c>
      <c r="M691" s="3">
        <v>29375.853999999999</v>
      </c>
      <c r="N691" s="3">
        <v>29375.853999999999</v>
      </c>
      <c r="O691" s="4">
        <v>0</v>
      </c>
      <c r="P691" s="4">
        <v>0</v>
      </c>
      <c r="Q691" s="4">
        <v>0</v>
      </c>
      <c r="R691" s="5">
        <v>5.3E-3</v>
      </c>
      <c r="S691">
        <v>1</v>
      </c>
      <c r="T691" t="b">
        <v>0</v>
      </c>
      <c r="U691">
        <v>1</v>
      </c>
      <c r="V691" s="4">
        <v>17.91</v>
      </c>
    </row>
    <row r="692" spans="1:22" hidden="1" x14ac:dyDescent="0.35">
      <c r="A692" t="s">
        <v>27</v>
      </c>
      <c r="B692">
        <v>4</v>
      </c>
      <c r="C692">
        <v>1</v>
      </c>
      <c r="D692">
        <v>10</v>
      </c>
      <c r="E692" t="s">
        <v>22</v>
      </c>
      <c r="F692">
        <v>200</v>
      </c>
      <c r="G692">
        <v>1</v>
      </c>
      <c r="H692">
        <v>20</v>
      </c>
      <c r="I692" t="s">
        <v>26</v>
      </c>
      <c r="J692" s="3">
        <v>334.45779099999999</v>
      </c>
      <c r="K692" s="3">
        <v>29375.853999999999</v>
      </c>
      <c r="L692" s="3">
        <v>29375.853999999999</v>
      </c>
      <c r="M692" s="3">
        <v>29375.853999999999</v>
      </c>
      <c r="N692" s="3">
        <v>29375.853999999999</v>
      </c>
      <c r="O692" s="4">
        <v>0</v>
      </c>
      <c r="P692" s="4">
        <v>0</v>
      </c>
      <c r="Q692" s="4">
        <v>0</v>
      </c>
      <c r="R692" s="5">
        <v>5.3E-3</v>
      </c>
      <c r="S692">
        <v>1</v>
      </c>
      <c r="T692" t="b">
        <v>0</v>
      </c>
      <c r="U692">
        <v>1</v>
      </c>
      <c r="V692" s="4">
        <v>6.05</v>
      </c>
    </row>
    <row r="693" spans="1:22" hidden="1" x14ac:dyDescent="0.35">
      <c r="A693" t="s">
        <v>27</v>
      </c>
      <c r="B693">
        <v>4</v>
      </c>
      <c r="C693">
        <v>1</v>
      </c>
      <c r="D693">
        <v>10</v>
      </c>
      <c r="E693" t="s">
        <v>22</v>
      </c>
      <c r="F693">
        <v>200</v>
      </c>
      <c r="G693">
        <v>3</v>
      </c>
      <c r="H693">
        <v>20</v>
      </c>
      <c r="I693" t="s">
        <v>26</v>
      </c>
      <c r="J693" s="3">
        <v>334.45779099999999</v>
      </c>
      <c r="K693" s="3">
        <v>29375.853999999999</v>
      </c>
      <c r="L693" s="3">
        <v>29375.853999999999</v>
      </c>
      <c r="M693" s="3">
        <v>29375.853999999999</v>
      </c>
      <c r="N693" s="3">
        <v>29375.853999999999</v>
      </c>
      <c r="O693" s="4">
        <v>0</v>
      </c>
      <c r="P693" s="4">
        <v>0</v>
      </c>
      <c r="Q693" s="4">
        <v>0</v>
      </c>
      <c r="R693" s="5">
        <v>5.3E-3</v>
      </c>
      <c r="S693">
        <v>1</v>
      </c>
      <c r="T693" t="b">
        <v>0</v>
      </c>
      <c r="U693">
        <v>1</v>
      </c>
      <c r="V693" s="4">
        <v>17.670000000000002</v>
      </c>
    </row>
    <row r="694" spans="1:22" hidden="1" x14ac:dyDescent="0.35">
      <c r="A694" t="s">
        <v>27</v>
      </c>
      <c r="B694">
        <v>4</v>
      </c>
      <c r="C694">
        <v>1</v>
      </c>
      <c r="D694">
        <v>10</v>
      </c>
      <c r="E694" t="s">
        <v>25</v>
      </c>
      <c r="F694">
        <v>50</v>
      </c>
      <c r="G694">
        <v>1</v>
      </c>
      <c r="H694">
        <v>20</v>
      </c>
      <c r="I694" t="s">
        <v>26</v>
      </c>
      <c r="J694" s="3">
        <v>1171.5054029999999</v>
      </c>
      <c r="K694" s="3" t="s">
        <v>24</v>
      </c>
      <c r="L694" s="3" t="s">
        <v>24</v>
      </c>
      <c r="M694" s="3" t="s">
        <v>24</v>
      </c>
      <c r="N694" s="3">
        <v>29375.853999999999</v>
      </c>
      <c r="O694" s="4"/>
      <c r="P694" s="4"/>
      <c r="Q694" s="4"/>
      <c r="R694" s="5">
        <v>0</v>
      </c>
      <c r="S694">
        <v>0</v>
      </c>
      <c r="T694" t="b">
        <v>1</v>
      </c>
      <c r="U694">
        <v>-1</v>
      </c>
      <c r="V694" s="4">
        <v>1.1399999999999999</v>
      </c>
    </row>
    <row r="695" spans="1:22" hidden="1" x14ac:dyDescent="0.35">
      <c r="A695" t="s">
        <v>27</v>
      </c>
      <c r="B695">
        <v>4</v>
      </c>
      <c r="C695">
        <v>1</v>
      </c>
      <c r="D695">
        <v>10</v>
      </c>
      <c r="E695" t="s">
        <v>25</v>
      </c>
      <c r="F695">
        <v>50</v>
      </c>
      <c r="G695">
        <v>3</v>
      </c>
      <c r="H695">
        <v>20</v>
      </c>
      <c r="I695" t="s">
        <v>26</v>
      </c>
      <c r="J695" s="3">
        <v>1029.9818640000001</v>
      </c>
      <c r="K695" s="3" t="s">
        <v>24</v>
      </c>
      <c r="L695" s="3" t="s">
        <v>24</v>
      </c>
      <c r="M695" s="3" t="s">
        <v>24</v>
      </c>
      <c r="N695" s="3">
        <v>29375.853999999999</v>
      </c>
      <c r="O695" s="4"/>
      <c r="P695" s="4"/>
      <c r="Q695" s="4"/>
      <c r="R695" s="5">
        <v>0</v>
      </c>
      <c r="S695">
        <v>0</v>
      </c>
      <c r="T695" t="b">
        <v>1</v>
      </c>
      <c r="U695">
        <v>-1</v>
      </c>
      <c r="V695" s="4">
        <v>2.69</v>
      </c>
    </row>
    <row r="696" spans="1:22" hidden="1" x14ac:dyDescent="0.35">
      <c r="A696" t="s">
        <v>27</v>
      </c>
      <c r="B696">
        <v>4</v>
      </c>
      <c r="C696">
        <v>1</v>
      </c>
      <c r="D696">
        <v>10</v>
      </c>
      <c r="E696" t="s">
        <v>25</v>
      </c>
      <c r="F696">
        <v>200</v>
      </c>
      <c r="G696">
        <v>1</v>
      </c>
      <c r="H696">
        <v>20</v>
      </c>
      <c r="I696" t="s">
        <v>26</v>
      </c>
      <c r="J696" s="3">
        <v>1171.5054029999999</v>
      </c>
      <c r="K696" s="3" t="s">
        <v>24</v>
      </c>
      <c r="L696" s="3" t="s">
        <v>24</v>
      </c>
      <c r="M696" s="3" t="s">
        <v>24</v>
      </c>
      <c r="N696" s="3">
        <v>29375.853999999999</v>
      </c>
      <c r="O696" s="4"/>
      <c r="P696" s="4"/>
      <c r="Q696" s="4"/>
      <c r="R696" s="5">
        <v>0</v>
      </c>
      <c r="S696">
        <v>0</v>
      </c>
      <c r="T696" t="b">
        <v>1</v>
      </c>
      <c r="U696">
        <v>-1</v>
      </c>
      <c r="V696" s="4">
        <v>1.1599999999999999</v>
      </c>
    </row>
    <row r="697" spans="1:22" hidden="1" x14ac:dyDescent="0.35">
      <c r="A697" t="s">
        <v>27</v>
      </c>
      <c r="B697">
        <v>4</v>
      </c>
      <c r="C697">
        <v>1</v>
      </c>
      <c r="D697">
        <v>10</v>
      </c>
      <c r="E697" t="s">
        <v>25</v>
      </c>
      <c r="F697">
        <v>200</v>
      </c>
      <c r="G697">
        <v>3</v>
      </c>
      <c r="H697">
        <v>20</v>
      </c>
      <c r="I697" t="s">
        <v>26</v>
      </c>
      <c r="J697" s="3">
        <v>1029.9818640000001</v>
      </c>
      <c r="K697" s="3" t="s">
        <v>24</v>
      </c>
      <c r="L697" s="3" t="s">
        <v>24</v>
      </c>
      <c r="M697" s="3" t="s">
        <v>24</v>
      </c>
      <c r="N697" s="3">
        <v>29375.853999999999</v>
      </c>
      <c r="O697" s="4"/>
      <c r="P697" s="4"/>
      <c r="Q697" s="4"/>
      <c r="R697" s="5">
        <v>0</v>
      </c>
      <c r="S697">
        <v>0</v>
      </c>
      <c r="T697" t="b">
        <v>1</v>
      </c>
      <c r="U697">
        <v>-1</v>
      </c>
      <c r="V697" s="4">
        <v>2.59</v>
      </c>
    </row>
    <row r="698" spans="1:22" hidden="1" x14ac:dyDescent="0.35">
      <c r="A698" t="s">
        <v>27</v>
      </c>
      <c r="B698">
        <v>4</v>
      </c>
      <c r="C698">
        <v>2</v>
      </c>
      <c r="D698">
        <v>2</v>
      </c>
      <c r="E698" t="s">
        <v>22</v>
      </c>
      <c r="F698">
        <v>50</v>
      </c>
      <c r="G698">
        <v>1</v>
      </c>
      <c r="H698">
        <v>20</v>
      </c>
      <c r="I698" t="s">
        <v>26</v>
      </c>
      <c r="J698" s="3">
        <v>81.349412000000001</v>
      </c>
      <c r="K698" s="3">
        <v>29375.853999999999</v>
      </c>
      <c r="L698" s="3">
        <v>29375.853999999999</v>
      </c>
      <c r="M698" s="3">
        <v>29375.853999999999</v>
      </c>
      <c r="N698" s="3">
        <v>29375.853999999999</v>
      </c>
      <c r="O698" s="4">
        <v>0</v>
      </c>
      <c r="P698" s="4">
        <v>0</v>
      </c>
      <c r="Q698" s="4">
        <v>0</v>
      </c>
      <c r="R698" s="5">
        <v>1.4E-3</v>
      </c>
      <c r="S698">
        <v>1</v>
      </c>
      <c r="T698" t="b">
        <v>0</v>
      </c>
      <c r="U698">
        <v>1</v>
      </c>
      <c r="V698" s="4">
        <v>11.27</v>
      </c>
    </row>
    <row r="699" spans="1:22" hidden="1" x14ac:dyDescent="0.35">
      <c r="A699" t="s">
        <v>27</v>
      </c>
      <c r="B699">
        <v>4</v>
      </c>
      <c r="C699">
        <v>2</v>
      </c>
      <c r="D699">
        <v>2</v>
      </c>
      <c r="E699" t="s">
        <v>22</v>
      </c>
      <c r="F699">
        <v>50</v>
      </c>
      <c r="G699">
        <v>3</v>
      </c>
      <c r="H699">
        <v>20</v>
      </c>
      <c r="I699" t="s">
        <v>26</v>
      </c>
      <c r="J699" s="3">
        <v>70.297780000000003</v>
      </c>
      <c r="K699" s="3">
        <v>29375.853999999999</v>
      </c>
      <c r="L699" s="3">
        <v>29375.853999999999</v>
      </c>
      <c r="M699" s="3">
        <v>29375.853999999999</v>
      </c>
      <c r="N699" s="3">
        <v>29375.853999999999</v>
      </c>
      <c r="O699" s="4">
        <v>0</v>
      </c>
      <c r="P699" s="4">
        <v>0</v>
      </c>
      <c r="Q699" s="4">
        <v>0</v>
      </c>
      <c r="R699" s="5">
        <v>4.1999999999999997E-3</v>
      </c>
      <c r="S699">
        <v>1</v>
      </c>
      <c r="T699" t="b">
        <v>0</v>
      </c>
      <c r="U699">
        <v>1</v>
      </c>
      <c r="V699" s="4">
        <v>32</v>
      </c>
    </row>
    <row r="700" spans="1:22" hidden="1" x14ac:dyDescent="0.35">
      <c r="A700" t="s">
        <v>27</v>
      </c>
      <c r="B700">
        <v>4</v>
      </c>
      <c r="C700">
        <v>2</v>
      </c>
      <c r="D700">
        <v>2</v>
      </c>
      <c r="E700" t="s">
        <v>22</v>
      </c>
      <c r="F700">
        <v>200</v>
      </c>
      <c r="G700">
        <v>1</v>
      </c>
      <c r="H700">
        <v>20</v>
      </c>
      <c r="I700" t="s">
        <v>26</v>
      </c>
      <c r="J700" s="3">
        <v>81.349412000000001</v>
      </c>
      <c r="K700" s="3">
        <v>29375.853999999999</v>
      </c>
      <c r="L700" s="3">
        <v>29375.853999999999</v>
      </c>
      <c r="M700" s="3">
        <v>29375.853999999999</v>
      </c>
      <c r="N700" s="3">
        <v>29375.853999999999</v>
      </c>
      <c r="O700" s="4">
        <v>0</v>
      </c>
      <c r="P700" s="4">
        <v>0</v>
      </c>
      <c r="Q700" s="4">
        <v>0</v>
      </c>
      <c r="R700" s="5">
        <v>1.4E-3</v>
      </c>
      <c r="S700">
        <v>1</v>
      </c>
      <c r="T700" t="b">
        <v>0</v>
      </c>
      <c r="U700">
        <v>1</v>
      </c>
      <c r="V700" s="4">
        <v>11.45</v>
      </c>
    </row>
    <row r="701" spans="1:22" hidden="1" x14ac:dyDescent="0.35">
      <c r="A701" t="s">
        <v>27</v>
      </c>
      <c r="B701">
        <v>4</v>
      </c>
      <c r="C701">
        <v>2</v>
      </c>
      <c r="D701">
        <v>2</v>
      </c>
      <c r="E701" t="s">
        <v>22</v>
      </c>
      <c r="F701">
        <v>200</v>
      </c>
      <c r="G701">
        <v>3</v>
      </c>
      <c r="H701">
        <v>20</v>
      </c>
      <c r="I701" t="s">
        <v>26</v>
      </c>
      <c r="J701" s="3">
        <v>70.297780000000003</v>
      </c>
      <c r="K701" s="3">
        <v>29375.853999999999</v>
      </c>
      <c r="L701" s="3">
        <v>29375.853999999999</v>
      </c>
      <c r="M701" s="3">
        <v>29375.853999999999</v>
      </c>
      <c r="N701" s="3">
        <v>29375.853999999999</v>
      </c>
      <c r="O701" s="4">
        <v>0</v>
      </c>
      <c r="P701" s="4">
        <v>0</v>
      </c>
      <c r="Q701" s="4">
        <v>0</v>
      </c>
      <c r="R701" s="5">
        <v>4.1999999999999997E-3</v>
      </c>
      <c r="S701">
        <v>1</v>
      </c>
      <c r="T701" t="b">
        <v>0</v>
      </c>
      <c r="U701">
        <v>1</v>
      </c>
      <c r="V701" s="4">
        <v>31.6</v>
      </c>
    </row>
    <row r="702" spans="1:22" hidden="1" x14ac:dyDescent="0.35">
      <c r="A702" t="s">
        <v>27</v>
      </c>
      <c r="B702">
        <v>4</v>
      </c>
      <c r="C702">
        <v>2</v>
      </c>
      <c r="D702">
        <v>2</v>
      </c>
      <c r="E702" t="s">
        <v>25</v>
      </c>
      <c r="F702">
        <v>50</v>
      </c>
      <c r="G702">
        <v>1</v>
      </c>
      <c r="H702">
        <v>20</v>
      </c>
      <c r="I702" t="s">
        <v>26</v>
      </c>
      <c r="J702" s="3">
        <v>210.94307000000001</v>
      </c>
      <c r="K702" s="3" t="s">
        <v>24</v>
      </c>
      <c r="L702" s="3" t="s">
        <v>24</v>
      </c>
      <c r="M702" s="3" t="s">
        <v>24</v>
      </c>
      <c r="N702" s="3">
        <v>29375.853999999999</v>
      </c>
      <c r="O702" s="4"/>
      <c r="P702" s="4"/>
      <c r="Q702" s="4"/>
      <c r="R702" s="5">
        <v>0</v>
      </c>
      <c r="S702">
        <v>0</v>
      </c>
      <c r="T702" t="b">
        <v>1</v>
      </c>
      <c r="U702">
        <v>-1</v>
      </c>
      <c r="V702" s="4">
        <v>1.94</v>
      </c>
    </row>
    <row r="703" spans="1:22" hidden="1" x14ac:dyDescent="0.35">
      <c r="A703" t="s">
        <v>27</v>
      </c>
      <c r="B703">
        <v>4</v>
      </c>
      <c r="C703">
        <v>2</v>
      </c>
      <c r="D703">
        <v>2</v>
      </c>
      <c r="E703" t="s">
        <v>25</v>
      </c>
      <c r="F703">
        <v>50</v>
      </c>
      <c r="G703">
        <v>3</v>
      </c>
      <c r="H703">
        <v>20</v>
      </c>
      <c r="I703" t="s">
        <v>26</v>
      </c>
      <c r="J703" s="3">
        <v>171.99167</v>
      </c>
      <c r="K703" s="3">
        <v>29375.853999999999</v>
      </c>
      <c r="L703" s="3">
        <v>29375.853999999999</v>
      </c>
      <c r="M703" s="3">
        <v>29375.853999999999</v>
      </c>
      <c r="N703" s="3">
        <v>29375.853999999999</v>
      </c>
      <c r="O703" s="4">
        <v>0</v>
      </c>
      <c r="P703" s="4">
        <v>0</v>
      </c>
      <c r="Q703" s="4">
        <v>0</v>
      </c>
      <c r="R703" s="5">
        <v>1.9E-3</v>
      </c>
      <c r="S703">
        <v>1</v>
      </c>
      <c r="T703" t="b">
        <v>0</v>
      </c>
      <c r="U703">
        <v>1</v>
      </c>
      <c r="V703" s="4">
        <v>4.84</v>
      </c>
    </row>
    <row r="704" spans="1:22" hidden="1" x14ac:dyDescent="0.35">
      <c r="A704" t="s">
        <v>27</v>
      </c>
      <c r="B704">
        <v>4</v>
      </c>
      <c r="C704">
        <v>2</v>
      </c>
      <c r="D704">
        <v>2</v>
      </c>
      <c r="E704" t="s">
        <v>25</v>
      </c>
      <c r="F704">
        <v>200</v>
      </c>
      <c r="G704">
        <v>1</v>
      </c>
      <c r="H704">
        <v>20</v>
      </c>
      <c r="I704" t="s">
        <v>26</v>
      </c>
      <c r="J704" s="3">
        <v>210.94307000000001</v>
      </c>
      <c r="K704" s="3" t="s">
        <v>24</v>
      </c>
      <c r="L704" s="3" t="s">
        <v>24</v>
      </c>
      <c r="M704" s="3" t="s">
        <v>24</v>
      </c>
      <c r="N704" s="3">
        <v>29375.853999999999</v>
      </c>
      <c r="O704" s="4"/>
      <c r="P704" s="4"/>
      <c r="Q704" s="4"/>
      <c r="R704" s="5">
        <v>0</v>
      </c>
      <c r="S704">
        <v>0</v>
      </c>
      <c r="T704" t="b">
        <v>1</v>
      </c>
      <c r="U704">
        <v>-1</v>
      </c>
      <c r="V704" s="4">
        <v>1.93</v>
      </c>
    </row>
    <row r="705" spans="1:22" hidden="1" x14ac:dyDescent="0.35">
      <c r="A705" t="s">
        <v>27</v>
      </c>
      <c r="B705">
        <v>4</v>
      </c>
      <c r="C705">
        <v>2</v>
      </c>
      <c r="D705">
        <v>2</v>
      </c>
      <c r="E705" t="s">
        <v>25</v>
      </c>
      <c r="F705">
        <v>200</v>
      </c>
      <c r="G705">
        <v>3</v>
      </c>
      <c r="H705">
        <v>20</v>
      </c>
      <c r="I705" t="s">
        <v>26</v>
      </c>
      <c r="J705" s="3">
        <v>171.99167</v>
      </c>
      <c r="K705" s="3">
        <v>29375.853999999999</v>
      </c>
      <c r="L705" s="3">
        <v>29375.853999999999</v>
      </c>
      <c r="M705" s="3">
        <v>29375.853999999999</v>
      </c>
      <c r="N705" s="3">
        <v>29375.853999999999</v>
      </c>
      <c r="O705" s="4">
        <v>0</v>
      </c>
      <c r="P705" s="4">
        <v>0</v>
      </c>
      <c r="Q705" s="4">
        <v>0</v>
      </c>
      <c r="R705" s="5">
        <v>1.9E-3</v>
      </c>
      <c r="S705">
        <v>1</v>
      </c>
      <c r="T705" t="b">
        <v>0</v>
      </c>
      <c r="U705">
        <v>1</v>
      </c>
      <c r="V705" s="4">
        <v>4.8499999999999996</v>
      </c>
    </row>
    <row r="706" spans="1:22" hidden="1" x14ac:dyDescent="0.35">
      <c r="A706" t="s">
        <v>27</v>
      </c>
      <c r="B706">
        <v>4</v>
      </c>
      <c r="C706">
        <v>2</v>
      </c>
      <c r="D706">
        <v>5</v>
      </c>
      <c r="E706" t="s">
        <v>22</v>
      </c>
      <c r="F706">
        <v>50</v>
      </c>
      <c r="G706">
        <v>1</v>
      </c>
      <c r="H706">
        <v>20</v>
      </c>
      <c r="I706" t="s">
        <v>26</v>
      </c>
      <c r="J706" s="3">
        <v>186.421211</v>
      </c>
      <c r="K706" s="3">
        <v>29375.853999999999</v>
      </c>
      <c r="L706" s="3">
        <v>29375.853999999999</v>
      </c>
      <c r="M706" s="3">
        <v>29375.853999999999</v>
      </c>
      <c r="N706" s="3">
        <v>29375.853999999999</v>
      </c>
      <c r="O706" s="4">
        <v>0</v>
      </c>
      <c r="P706" s="4">
        <v>0</v>
      </c>
      <c r="Q706" s="4">
        <v>0</v>
      </c>
      <c r="R706" s="5">
        <v>1.4E-3</v>
      </c>
      <c r="S706">
        <v>1</v>
      </c>
      <c r="T706" t="b">
        <v>0</v>
      </c>
      <c r="U706">
        <v>1</v>
      </c>
      <c r="V706" s="4">
        <v>9.85</v>
      </c>
    </row>
    <row r="707" spans="1:22" hidden="1" x14ac:dyDescent="0.35">
      <c r="A707" t="s">
        <v>27</v>
      </c>
      <c r="B707">
        <v>4</v>
      </c>
      <c r="C707">
        <v>2</v>
      </c>
      <c r="D707">
        <v>5</v>
      </c>
      <c r="E707" t="s">
        <v>22</v>
      </c>
      <c r="F707">
        <v>50</v>
      </c>
      <c r="G707">
        <v>3</v>
      </c>
      <c r="H707">
        <v>20</v>
      </c>
      <c r="I707" t="s">
        <v>26</v>
      </c>
      <c r="J707" s="3">
        <v>175.83323799999999</v>
      </c>
      <c r="K707" s="3">
        <v>29375.853999999999</v>
      </c>
      <c r="L707" s="3">
        <v>29375.853999999999</v>
      </c>
      <c r="M707" s="3">
        <v>29375.853999999999</v>
      </c>
      <c r="N707" s="3">
        <v>29375.853999999999</v>
      </c>
      <c r="O707" s="4">
        <v>0</v>
      </c>
      <c r="P707" s="4">
        <v>0</v>
      </c>
      <c r="Q707" s="4">
        <v>0</v>
      </c>
      <c r="R707" s="5">
        <v>4.0000000000000001E-3</v>
      </c>
      <c r="S707">
        <v>1</v>
      </c>
      <c r="T707" t="b">
        <v>0</v>
      </c>
      <c r="U707">
        <v>1</v>
      </c>
      <c r="V707" s="4">
        <v>28.9</v>
      </c>
    </row>
    <row r="708" spans="1:22" hidden="1" x14ac:dyDescent="0.35">
      <c r="A708" t="s">
        <v>27</v>
      </c>
      <c r="B708">
        <v>4</v>
      </c>
      <c r="C708">
        <v>2</v>
      </c>
      <c r="D708">
        <v>5</v>
      </c>
      <c r="E708" t="s">
        <v>22</v>
      </c>
      <c r="F708">
        <v>200</v>
      </c>
      <c r="G708">
        <v>1</v>
      </c>
      <c r="H708">
        <v>20</v>
      </c>
      <c r="I708" t="s">
        <v>26</v>
      </c>
      <c r="J708" s="3">
        <v>186.421211</v>
      </c>
      <c r="K708" s="3">
        <v>29375.853999999999</v>
      </c>
      <c r="L708" s="3">
        <v>29375.853999999999</v>
      </c>
      <c r="M708" s="3">
        <v>29375.853999999999</v>
      </c>
      <c r="N708" s="3">
        <v>29375.853999999999</v>
      </c>
      <c r="O708" s="4">
        <v>0</v>
      </c>
      <c r="P708" s="4">
        <v>0</v>
      </c>
      <c r="Q708" s="4">
        <v>0</v>
      </c>
      <c r="R708" s="5">
        <v>1.4E-3</v>
      </c>
      <c r="S708">
        <v>1</v>
      </c>
      <c r="T708" t="b">
        <v>0</v>
      </c>
      <c r="U708">
        <v>1</v>
      </c>
      <c r="V708" s="4">
        <v>9.9</v>
      </c>
    </row>
    <row r="709" spans="1:22" hidden="1" x14ac:dyDescent="0.35">
      <c r="A709" t="s">
        <v>27</v>
      </c>
      <c r="B709">
        <v>4</v>
      </c>
      <c r="C709">
        <v>2</v>
      </c>
      <c r="D709">
        <v>5</v>
      </c>
      <c r="E709" t="s">
        <v>22</v>
      </c>
      <c r="F709">
        <v>200</v>
      </c>
      <c r="G709">
        <v>3</v>
      </c>
      <c r="H709">
        <v>20</v>
      </c>
      <c r="I709" t="s">
        <v>26</v>
      </c>
      <c r="J709" s="3">
        <v>175.83323799999999</v>
      </c>
      <c r="K709" s="3">
        <v>29375.853999999999</v>
      </c>
      <c r="L709" s="3">
        <v>29375.853999999999</v>
      </c>
      <c r="M709" s="3">
        <v>29375.853999999999</v>
      </c>
      <c r="N709" s="3">
        <v>29375.853999999999</v>
      </c>
      <c r="O709" s="4">
        <v>0</v>
      </c>
      <c r="P709" s="4">
        <v>0</v>
      </c>
      <c r="Q709" s="4">
        <v>0</v>
      </c>
      <c r="R709" s="5">
        <v>4.0000000000000001E-3</v>
      </c>
      <c r="S709">
        <v>1</v>
      </c>
      <c r="T709" t="b">
        <v>0</v>
      </c>
      <c r="U709">
        <v>1</v>
      </c>
      <c r="V709" s="4">
        <v>28.68</v>
      </c>
    </row>
    <row r="710" spans="1:22" hidden="1" x14ac:dyDescent="0.35">
      <c r="A710" t="s">
        <v>27</v>
      </c>
      <c r="B710">
        <v>4</v>
      </c>
      <c r="C710">
        <v>2</v>
      </c>
      <c r="D710">
        <v>5</v>
      </c>
      <c r="E710" t="s">
        <v>25</v>
      </c>
      <c r="F710">
        <v>50</v>
      </c>
      <c r="G710">
        <v>1</v>
      </c>
      <c r="H710">
        <v>20</v>
      </c>
      <c r="I710" t="s">
        <v>26</v>
      </c>
      <c r="J710" s="3">
        <v>516.32778699999994</v>
      </c>
      <c r="K710" s="3" t="s">
        <v>24</v>
      </c>
      <c r="L710" s="3" t="s">
        <v>24</v>
      </c>
      <c r="M710" s="3" t="s">
        <v>24</v>
      </c>
      <c r="N710" s="3">
        <v>29375.853999999999</v>
      </c>
      <c r="O710" s="4"/>
      <c r="P710" s="4"/>
      <c r="Q710" s="4"/>
      <c r="R710" s="5">
        <v>0</v>
      </c>
      <c r="S710">
        <v>0</v>
      </c>
      <c r="T710" t="b">
        <v>1</v>
      </c>
      <c r="U710">
        <v>-1</v>
      </c>
      <c r="V710" s="4">
        <v>1.89</v>
      </c>
    </row>
    <row r="711" spans="1:22" hidden="1" x14ac:dyDescent="0.35">
      <c r="A711" t="s">
        <v>27</v>
      </c>
      <c r="B711">
        <v>4</v>
      </c>
      <c r="C711">
        <v>2</v>
      </c>
      <c r="D711">
        <v>5</v>
      </c>
      <c r="E711" t="s">
        <v>25</v>
      </c>
      <c r="F711">
        <v>50</v>
      </c>
      <c r="G711">
        <v>3</v>
      </c>
      <c r="H711">
        <v>20</v>
      </c>
      <c r="I711" t="s">
        <v>26</v>
      </c>
      <c r="J711" s="3">
        <v>393.12438900000001</v>
      </c>
      <c r="K711" s="3">
        <v>29375.853999999999</v>
      </c>
      <c r="L711" s="3">
        <v>29375.853999999999</v>
      </c>
      <c r="M711" s="3">
        <v>29375.853999999999</v>
      </c>
      <c r="N711" s="3">
        <v>29375.853999999999</v>
      </c>
      <c r="O711" s="4">
        <v>0</v>
      </c>
      <c r="P711" s="4">
        <v>0</v>
      </c>
      <c r="Q711" s="4">
        <v>0</v>
      </c>
      <c r="R711" s="5">
        <v>5.4999999999999997E-3</v>
      </c>
      <c r="S711">
        <v>1</v>
      </c>
      <c r="T711" t="b">
        <v>0</v>
      </c>
      <c r="U711">
        <v>1</v>
      </c>
      <c r="V711" s="4">
        <v>4.78</v>
      </c>
    </row>
    <row r="712" spans="1:22" hidden="1" x14ac:dyDescent="0.35">
      <c r="A712" t="s">
        <v>27</v>
      </c>
      <c r="B712">
        <v>4</v>
      </c>
      <c r="C712">
        <v>2</v>
      </c>
      <c r="D712">
        <v>5</v>
      </c>
      <c r="E712" t="s">
        <v>25</v>
      </c>
      <c r="F712">
        <v>200</v>
      </c>
      <c r="G712">
        <v>1</v>
      </c>
      <c r="H712">
        <v>20</v>
      </c>
      <c r="I712" t="s">
        <v>26</v>
      </c>
      <c r="J712" s="3">
        <v>516.32778699999994</v>
      </c>
      <c r="K712" s="3" t="s">
        <v>24</v>
      </c>
      <c r="L712" s="3" t="s">
        <v>24</v>
      </c>
      <c r="M712" s="3" t="s">
        <v>24</v>
      </c>
      <c r="N712" s="3">
        <v>29375.853999999999</v>
      </c>
      <c r="O712" s="4"/>
      <c r="P712" s="4"/>
      <c r="Q712" s="4"/>
      <c r="R712" s="5">
        <v>0</v>
      </c>
      <c r="S712">
        <v>0</v>
      </c>
      <c r="T712" t="b">
        <v>1</v>
      </c>
      <c r="U712">
        <v>-1</v>
      </c>
      <c r="V712" s="4">
        <v>1.94</v>
      </c>
    </row>
    <row r="713" spans="1:22" hidden="1" x14ac:dyDescent="0.35">
      <c r="A713" t="s">
        <v>27</v>
      </c>
      <c r="B713">
        <v>4</v>
      </c>
      <c r="C713">
        <v>2</v>
      </c>
      <c r="D713">
        <v>5</v>
      </c>
      <c r="E713" t="s">
        <v>25</v>
      </c>
      <c r="F713">
        <v>200</v>
      </c>
      <c r="G713">
        <v>3</v>
      </c>
      <c r="H713">
        <v>20</v>
      </c>
      <c r="I713" t="s">
        <v>26</v>
      </c>
      <c r="J713" s="3">
        <v>393.12438900000001</v>
      </c>
      <c r="K713" s="3">
        <v>29375.853999999999</v>
      </c>
      <c r="L713" s="3">
        <v>29375.853999999999</v>
      </c>
      <c r="M713" s="3">
        <v>29375.853999999999</v>
      </c>
      <c r="N713" s="3">
        <v>29375.853999999999</v>
      </c>
      <c r="O713" s="4">
        <v>0</v>
      </c>
      <c r="P713" s="4">
        <v>0</v>
      </c>
      <c r="Q713" s="4">
        <v>0</v>
      </c>
      <c r="R713" s="5">
        <v>5.4999999999999997E-3</v>
      </c>
      <c r="S713">
        <v>1</v>
      </c>
      <c r="T713" t="b">
        <v>0</v>
      </c>
      <c r="U713">
        <v>1</v>
      </c>
      <c r="V713" s="4">
        <v>4.8899999999999997</v>
      </c>
    </row>
    <row r="714" spans="1:22" hidden="1" x14ac:dyDescent="0.35">
      <c r="A714" t="s">
        <v>27</v>
      </c>
      <c r="B714">
        <v>4</v>
      </c>
      <c r="C714">
        <v>2</v>
      </c>
      <c r="D714">
        <v>10</v>
      </c>
      <c r="E714" t="s">
        <v>22</v>
      </c>
      <c r="F714">
        <v>50</v>
      </c>
      <c r="G714">
        <v>1</v>
      </c>
      <c r="H714">
        <v>20</v>
      </c>
      <c r="I714" t="s">
        <v>26</v>
      </c>
      <c r="J714" s="3">
        <v>357.01845700000001</v>
      </c>
      <c r="K714" s="3">
        <v>29375.853999999999</v>
      </c>
      <c r="L714" s="3">
        <v>29375.853999999999</v>
      </c>
      <c r="M714" s="3">
        <v>29375.853999999999</v>
      </c>
      <c r="N714" s="3">
        <v>29375.853999999999</v>
      </c>
      <c r="O714" s="4">
        <v>0</v>
      </c>
      <c r="P714" s="4">
        <v>0</v>
      </c>
      <c r="Q714" s="4">
        <v>0</v>
      </c>
      <c r="R714" s="5">
        <v>3.5999999999999999E-3</v>
      </c>
      <c r="S714">
        <v>1</v>
      </c>
      <c r="T714" t="b">
        <v>0</v>
      </c>
      <c r="U714">
        <v>1</v>
      </c>
      <c r="V714" s="4">
        <v>10.199999999999999</v>
      </c>
    </row>
    <row r="715" spans="1:22" hidden="1" x14ac:dyDescent="0.35">
      <c r="A715" t="s">
        <v>27</v>
      </c>
      <c r="B715">
        <v>4</v>
      </c>
      <c r="C715">
        <v>2</v>
      </c>
      <c r="D715">
        <v>10</v>
      </c>
      <c r="E715" t="s">
        <v>22</v>
      </c>
      <c r="F715">
        <v>50</v>
      </c>
      <c r="G715">
        <v>3</v>
      </c>
      <c r="H715">
        <v>20</v>
      </c>
      <c r="I715" t="s">
        <v>26</v>
      </c>
      <c r="J715" s="3">
        <v>121.171412</v>
      </c>
      <c r="K715" s="3">
        <v>29375.853999999999</v>
      </c>
      <c r="L715" s="3">
        <v>29375.853999999999</v>
      </c>
      <c r="M715" s="3">
        <v>29375.853999999999</v>
      </c>
      <c r="N715" s="3">
        <v>29375.853999999999</v>
      </c>
      <c r="O715" s="4">
        <v>0</v>
      </c>
      <c r="P715" s="4">
        <v>0</v>
      </c>
      <c r="Q715" s="4">
        <v>0</v>
      </c>
      <c r="R715" s="5">
        <v>0.25869999999999999</v>
      </c>
      <c r="S715">
        <v>1</v>
      </c>
      <c r="T715" t="b">
        <v>0</v>
      </c>
      <c r="U715">
        <v>1</v>
      </c>
      <c r="V715" s="4">
        <v>29.95</v>
      </c>
    </row>
    <row r="716" spans="1:22" hidden="1" x14ac:dyDescent="0.35">
      <c r="A716" t="s">
        <v>27</v>
      </c>
      <c r="B716">
        <v>4</v>
      </c>
      <c r="C716">
        <v>2</v>
      </c>
      <c r="D716">
        <v>10</v>
      </c>
      <c r="E716" t="s">
        <v>22</v>
      </c>
      <c r="F716">
        <v>200</v>
      </c>
      <c r="G716">
        <v>1</v>
      </c>
      <c r="H716">
        <v>20</v>
      </c>
      <c r="I716" t="s">
        <v>26</v>
      </c>
      <c r="J716" s="3">
        <v>357.01845700000001</v>
      </c>
      <c r="K716" s="3">
        <v>29375.853999999999</v>
      </c>
      <c r="L716" s="3">
        <v>29375.853999999999</v>
      </c>
      <c r="M716" s="3">
        <v>29375.853999999999</v>
      </c>
      <c r="N716" s="3">
        <v>29375.853999999999</v>
      </c>
      <c r="O716" s="4">
        <v>0</v>
      </c>
      <c r="P716" s="4">
        <v>0</v>
      </c>
      <c r="Q716" s="4">
        <v>0</v>
      </c>
      <c r="R716" s="5">
        <v>3.5999999999999999E-3</v>
      </c>
      <c r="S716">
        <v>1</v>
      </c>
      <c r="T716" t="b">
        <v>0</v>
      </c>
      <c r="U716">
        <v>1</v>
      </c>
      <c r="V716" s="4">
        <v>10.26</v>
      </c>
    </row>
    <row r="717" spans="1:22" hidden="1" x14ac:dyDescent="0.35">
      <c r="A717" t="s">
        <v>27</v>
      </c>
      <c r="B717">
        <v>4</v>
      </c>
      <c r="C717">
        <v>2</v>
      </c>
      <c r="D717">
        <v>10</v>
      </c>
      <c r="E717" t="s">
        <v>22</v>
      </c>
      <c r="F717">
        <v>200</v>
      </c>
      <c r="G717">
        <v>3</v>
      </c>
      <c r="H717">
        <v>20</v>
      </c>
      <c r="I717" t="s">
        <v>26</v>
      </c>
      <c r="J717" s="3">
        <v>120.47857999999999</v>
      </c>
      <c r="K717" s="3">
        <v>29375.853999999999</v>
      </c>
      <c r="L717" s="3">
        <v>29375.853999999999</v>
      </c>
      <c r="M717" s="3">
        <v>29375.853999999999</v>
      </c>
      <c r="N717" s="3">
        <v>29375.853999999999</v>
      </c>
      <c r="O717" s="4">
        <v>0</v>
      </c>
      <c r="P717" s="4">
        <v>0</v>
      </c>
      <c r="Q717" s="4">
        <v>0</v>
      </c>
      <c r="R717" s="5">
        <v>0.25869999999999999</v>
      </c>
      <c r="S717">
        <v>1</v>
      </c>
      <c r="T717" t="b">
        <v>0</v>
      </c>
      <c r="U717">
        <v>1</v>
      </c>
      <c r="V717" s="4">
        <v>30.98</v>
      </c>
    </row>
    <row r="718" spans="1:22" hidden="1" x14ac:dyDescent="0.35">
      <c r="A718" t="s">
        <v>27</v>
      </c>
      <c r="B718">
        <v>4</v>
      </c>
      <c r="C718">
        <v>2</v>
      </c>
      <c r="D718">
        <v>10</v>
      </c>
      <c r="E718" t="s">
        <v>25</v>
      </c>
      <c r="F718">
        <v>50</v>
      </c>
      <c r="G718">
        <v>1</v>
      </c>
      <c r="H718">
        <v>20</v>
      </c>
      <c r="I718" t="s">
        <v>26</v>
      </c>
      <c r="J718" s="3">
        <v>1038.9209109999999</v>
      </c>
      <c r="K718" s="3" t="s">
        <v>24</v>
      </c>
      <c r="L718" s="3" t="s">
        <v>24</v>
      </c>
      <c r="M718" s="3" t="s">
        <v>24</v>
      </c>
      <c r="N718" s="3">
        <v>29375.853999999999</v>
      </c>
      <c r="O718" s="4"/>
      <c r="P718" s="4"/>
      <c r="Q718" s="4"/>
      <c r="R718" s="5">
        <v>0</v>
      </c>
      <c r="S718">
        <v>0</v>
      </c>
      <c r="T718" t="b">
        <v>1</v>
      </c>
      <c r="U718">
        <v>-1</v>
      </c>
      <c r="V718" s="4">
        <v>1.95</v>
      </c>
    </row>
    <row r="719" spans="1:22" hidden="1" x14ac:dyDescent="0.35">
      <c r="A719" t="s">
        <v>27</v>
      </c>
      <c r="B719">
        <v>4</v>
      </c>
      <c r="C719">
        <v>2</v>
      </c>
      <c r="D719">
        <v>10</v>
      </c>
      <c r="E719" t="s">
        <v>25</v>
      </c>
      <c r="F719">
        <v>50</v>
      </c>
      <c r="G719">
        <v>3</v>
      </c>
      <c r="H719">
        <v>20</v>
      </c>
      <c r="I719" t="s">
        <v>26</v>
      </c>
      <c r="J719" s="3">
        <v>743.21189000000004</v>
      </c>
      <c r="K719" s="3">
        <v>29375.853999999999</v>
      </c>
      <c r="L719" s="3">
        <v>29375.853999999999</v>
      </c>
      <c r="M719" s="3">
        <v>29375.853999999999</v>
      </c>
      <c r="N719" s="3">
        <v>29375.853999999999</v>
      </c>
      <c r="O719" s="4">
        <v>0</v>
      </c>
      <c r="P719" s="4">
        <v>0</v>
      </c>
      <c r="Q719" s="4">
        <v>0</v>
      </c>
      <c r="R719" s="5">
        <v>6.7000000000000002E-3</v>
      </c>
      <c r="S719">
        <v>1</v>
      </c>
      <c r="T719" t="b">
        <v>0</v>
      </c>
      <c r="U719">
        <v>1</v>
      </c>
      <c r="V719" s="4">
        <v>4.7699999999999996</v>
      </c>
    </row>
    <row r="720" spans="1:22" hidden="1" x14ac:dyDescent="0.35">
      <c r="A720" t="s">
        <v>27</v>
      </c>
      <c r="B720">
        <v>4</v>
      </c>
      <c r="C720">
        <v>2</v>
      </c>
      <c r="D720">
        <v>10</v>
      </c>
      <c r="E720" t="s">
        <v>25</v>
      </c>
      <c r="F720">
        <v>200</v>
      </c>
      <c r="G720">
        <v>1</v>
      </c>
      <c r="H720">
        <v>20</v>
      </c>
      <c r="I720" t="s">
        <v>26</v>
      </c>
      <c r="J720" s="3">
        <v>1038.9209109999999</v>
      </c>
      <c r="K720" s="3" t="s">
        <v>24</v>
      </c>
      <c r="L720" s="3" t="s">
        <v>24</v>
      </c>
      <c r="M720" s="3" t="s">
        <v>24</v>
      </c>
      <c r="N720" s="3">
        <v>29375.853999999999</v>
      </c>
      <c r="O720" s="4"/>
      <c r="P720" s="4"/>
      <c r="Q720" s="4"/>
      <c r="R720" s="5">
        <v>0</v>
      </c>
      <c r="S720">
        <v>0</v>
      </c>
      <c r="T720" t="b">
        <v>1</v>
      </c>
      <c r="U720">
        <v>-1</v>
      </c>
      <c r="V720" s="4">
        <v>1.95</v>
      </c>
    </row>
    <row r="721" spans="1:22" hidden="1" x14ac:dyDescent="0.35">
      <c r="A721" t="s">
        <v>27</v>
      </c>
      <c r="B721">
        <v>4</v>
      </c>
      <c r="C721">
        <v>2</v>
      </c>
      <c r="D721">
        <v>10</v>
      </c>
      <c r="E721" t="s">
        <v>25</v>
      </c>
      <c r="F721">
        <v>200</v>
      </c>
      <c r="G721">
        <v>3</v>
      </c>
      <c r="H721">
        <v>20</v>
      </c>
      <c r="I721" t="s">
        <v>26</v>
      </c>
      <c r="J721" s="3">
        <v>743.21189000000004</v>
      </c>
      <c r="K721" s="3">
        <v>29375.853999999999</v>
      </c>
      <c r="L721" s="3">
        <v>29375.853999999999</v>
      </c>
      <c r="M721" s="3">
        <v>29375.853999999999</v>
      </c>
      <c r="N721" s="3">
        <v>29375.853999999999</v>
      </c>
      <c r="O721" s="4">
        <v>0</v>
      </c>
      <c r="P721" s="4">
        <v>0</v>
      </c>
      <c r="Q721" s="4">
        <v>0</v>
      </c>
      <c r="R721" s="5">
        <v>6.7000000000000002E-3</v>
      </c>
      <c r="S721">
        <v>1</v>
      </c>
      <c r="T721" t="b">
        <v>0</v>
      </c>
      <c r="U721">
        <v>1</v>
      </c>
      <c r="V721" s="4">
        <v>4.79</v>
      </c>
    </row>
    <row r="722" spans="1:22" hidden="1" x14ac:dyDescent="0.35">
      <c r="A722" t="s">
        <v>27</v>
      </c>
      <c r="B722">
        <v>4</v>
      </c>
      <c r="C722">
        <v>3</v>
      </c>
      <c r="D722">
        <v>2</v>
      </c>
      <c r="E722" t="s">
        <v>22</v>
      </c>
      <c r="F722">
        <v>50</v>
      </c>
      <c r="G722">
        <v>1</v>
      </c>
      <c r="H722">
        <v>20</v>
      </c>
      <c r="I722" t="s">
        <v>26</v>
      </c>
      <c r="J722" s="3">
        <v>74.159952000000004</v>
      </c>
      <c r="K722" s="3">
        <v>29375.853999999999</v>
      </c>
      <c r="L722" s="3">
        <v>29375.853999999999</v>
      </c>
      <c r="M722" s="3">
        <v>29375.853999999999</v>
      </c>
      <c r="N722" s="3">
        <v>29375.853999999999</v>
      </c>
      <c r="O722" s="4">
        <v>0</v>
      </c>
      <c r="P722" s="4">
        <v>0</v>
      </c>
      <c r="Q722" s="4">
        <v>0</v>
      </c>
      <c r="R722" s="5">
        <v>7.7000000000000002E-3</v>
      </c>
      <c r="S722">
        <v>1</v>
      </c>
      <c r="T722" t="b">
        <v>0</v>
      </c>
      <c r="U722">
        <v>1</v>
      </c>
      <c r="V722" s="4">
        <v>15.39</v>
      </c>
    </row>
    <row r="723" spans="1:22" hidden="1" x14ac:dyDescent="0.35">
      <c r="A723" t="s">
        <v>27</v>
      </c>
      <c r="B723">
        <v>4</v>
      </c>
      <c r="C723">
        <v>3</v>
      </c>
      <c r="D723">
        <v>2</v>
      </c>
      <c r="E723" t="s">
        <v>22</v>
      </c>
      <c r="F723">
        <v>50</v>
      </c>
      <c r="G723">
        <v>3</v>
      </c>
      <c r="H723">
        <v>20</v>
      </c>
      <c r="I723" t="s">
        <v>26</v>
      </c>
      <c r="J723" s="3">
        <v>74.159952000000004</v>
      </c>
      <c r="K723" s="3">
        <v>29375.853999999999</v>
      </c>
      <c r="L723" s="3">
        <v>29375.853999999999</v>
      </c>
      <c r="M723" s="3">
        <v>29375.853999999999</v>
      </c>
      <c r="N723" s="3">
        <v>29375.853999999999</v>
      </c>
      <c r="O723" s="4">
        <v>0</v>
      </c>
      <c r="P723" s="4">
        <v>0</v>
      </c>
      <c r="Q723" s="4">
        <v>0</v>
      </c>
      <c r="R723" s="5">
        <v>7.7000000000000002E-3</v>
      </c>
      <c r="S723">
        <v>1</v>
      </c>
      <c r="T723" t="b">
        <v>0</v>
      </c>
      <c r="U723">
        <v>1</v>
      </c>
      <c r="V723" s="4">
        <v>44.21</v>
      </c>
    </row>
    <row r="724" spans="1:22" hidden="1" x14ac:dyDescent="0.35">
      <c r="A724" t="s">
        <v>27</v>
      </c>
      <c r="B724">
        <v>4</v>
      </c>
      <c r="C724">
        <v>3</v>
      </c>
      <c r="D724">
        <v>2</v>
      </c>
      <c r="E724" t="s">
        <v>22</v>
      </c>
      <c r="F724">
        <v>200</v>
      </c>
      <c r="G724">
        <v>1</v>
      </c>
      <c r="H724">
        <v>20</v>
      </c>
      <c r="I724" t="s">
        <v>26</v>
      </c>
      <c r="J724" s="3">
        <v>70.311072999999993</v>
      </c>
      <c r="K724" s="3">
        <v>29375.853999999999</v>
      </c>
      <c r="L724" s="3">
        <v>29375.853999999999</v>
      </c>
      <c r="M724" s="3">
        <v>29375.853999999999</v>
      </c>
      <c r="N724" s="3">
        <v>29375.853999999999</v>
      </c>
      <c r="O724" s="4">
        <v>0</v>
      </c>
      <c r="P724" s="4">
        <v>0</v>
      </c>
      <c r="Q724" s="4">
        <v>0</v>
      </c>
      <c r="R724" s="5">
        <v>9.4999999999999998E-3</v>
      </c>
      <c r="S724">
        <v>1</v>
      </c>
      <c r="T724" t="b">
        <v>0</v>
      </c>
      <c r="U724">
        <v>1</v>
      </c>
      <c r="V724" s="4">
        <v>26.5</v>
      </c>
    </row>
    <row r="725" spans="1:22" hidden="1" x14ac:dyDescent="0.35">
      <c r="A725" t="s">
        <v>27</v>
      </c>
      <c r="B725">
        <v>4</v>
      </c>
      <c r="C725">
        <v>3</v>
      </c>
      <c r="D725">
        <v>2</v>
      </c>
      <c r="E725" t="s">
        <v>22</v>
      </c>
      <c r="F725">
        <v>200</v>
      </c>
      <c r="G725">
        <v>3</v>
      </c>
      <c r="H725">
        <v>20</v>
      </c>
      <c r="I725" t="s">
        <v>26</v>
      </c>
      <c r="J725" s="3">
        <v>70.311072999999993</v>
      </c>
      <c r="K725" s="3">
        <v>29375.853999999999</v>
      </c>
      <c r="L725" s="3">
        <v>29375.853999999999</v>
      </c>
      <c r="M725" s="3">
        <v>29375.853999999999</v>
      </c>
      <c r="N725" s="3">
        <v>29375.853999999999</v>
      </c>
      <c r="O725" s="4">
        <v>0</v>
      </c>
      <c r="P725" s="4">
        <v>0</v>
      </c>
      <c r="Q725" s="4">
        <v>0</v>
      </c>
      <c r="R725" s="5">
        <v>9.4999999999999998E-3</v>
      </c>
      <c r="S725">
        <v>1</v>
      </c>
      <c r="T725" t="b">
        <v>0</v>
      </c>
      <c r="U725">
        <v>1</v>
      </c>
      <c r="V725" s="4">
        <v>63.09</v>
      </c>
    </row>
    <row r="726" spans="1:22" hidden="1" x14ac:dyDescent="0.35">
      <c r="A726" t="s">
        <v>27</v>
      </c>
      <c r="B726">
        <v>4</v>
      </c>
      <c r="C726">
        <v>3</v>
      </c>
      <c r="D726">
        <v>2</v>
      </c>
      <c r="E726" t="s">
        <v>25</v>
      </c>
      <c r="F726">
        <v>50</v>
      </c>
      <c r="G726">
        <v>1</v>
      </c>
      <c r="H726">
        <v>20</v>
      </c>
      <c r="I726" t="s">
        <v>26</v>
      </c>
      <c r="J726" s="3">
        <v>217.43761900000001</v>
      </c>
      <c r="K726" s="3" t="s">
        <v>24</v>
      </c>
      <c r="L726" s="3" t="s">
        <v>24</v>
      </c>
      <c r="M726" s="3" t="s">
        <v>24</v>
      </c>
      <c r="N726" s="3">
        <v>29375.853999999999</v>
      </c>
      <c r="O726" s="4"/>
      <c r="P726" s="4"/>
      <c r="Q726" s="4"/>
      <c r="R726" s="5">
        <v>0</v>
      </c>
      <c r="S726">
        <v>0</v>
      </c>
      <c r="T726" t="b">
        <v>1</v>
      </c>
      <c r="U726">
        <v>-1</v>
      </c>
      <c r="V726" s="4">
        <v>2.86</v>
      </c>
    </row>
    <row r="727" spans="1:22" hidden="1" x14ac:dyDescent="0.35">
      <c r="A727" t="s">
        <v>27</v>
      </c>
      <c r="B727">
        <v>4</v>
      </c>
      <c r="C727">
        <v>3</v>
      </c>
      <c r="D727">
        <v>2</v>
      </c>
      <c r="E727" t="s">
        <v>25</v>
      </c>
      <c r="F727">
        <v>50</v>
      </c>
      <c r="G727">
        <v>3</v>
      </c>
      <c r="H727">
        <v>20</v>
      </c>
      <c r="I727" t="s">
        <v>26</v>
      </c>
      <c r="J727" s="3">
        <v>201.684518</v>
      </c>
      <c r="K727" s="3">
        <v>29375.853999999999</v>
      </c>
      <c r="L727" s="3">
        <v>29375.853999999999</v>
      </c>
      <c r="M727" s="3">
        <v>29375.853999999999</v>
      </c>
      <c r="N727" s="3">
        <v>29375.853999999999</v>
      </c>
      <c r="O727" s="4">
        <v>0</v>
      </c>
      <c r="P727" s="4">
        <v>0</v>
      </c>
      <c r="Q727" s="4">
        <v>0</v>
      </c>
      <c r="R727" s="5">
        <v>3.3E-3</v>
      </c>
      <c r="S727">
        <v>1</v>
      </c>
      <c r="T727" t="b">
        <v>0</v>
      </c>
      <c r="U727">
        <v>1</v>
      </c>
      <c r="V727" s="4">
        <v>7.61</v>
      </c>
    </row>
    <row r="728" spans="1:22" hidden="1" x14ac:dyDescent="0.35">
      <c r="A728" t="s">
        <v>27</v>
      </c>
      <c r="B728">
        <v>4</v>
      </c>
      <c r="C728">
        <v>3</v>
      </c>
      <c r="D728">
        <v>2</v>
      </c>
      <c r="E728" t="s">
        <v>25</v>
      </c>
      <c r="F728">
        <v>200</v>
      </c>
      <c r="G728">
        <v>1</v>
      </c>
      <c r="H728">
        <v>20</v>
      </c>
      <c r="I728" t="s">
        <v>26</v>
      </c>
      <c r="J728" s="3">
        <v>217.43761900000001</v>
      </c>
      <c r="K728" s="3" t="s">
        <v>24</v>
      </c>
      <c r="L728" s="3" t="s">
        <v>24</v>
      </c>
      <c r="M728" s="3" t="s">
        <v>24</v>
      </c>
      <c r="N728" s="3">
        <v>29375.853999999999</v>
      </c>
      <c r="O728" s="4"/>
      <c r="P728" s="4"/>
      <c r="Q728" s="4"/>
      <c r="R728" s="5">
        <v>0</v>
      </c>
      <c r="S728">
        <v>0</v>
      </c>
      <c r="T728" t="b">
        <v>1</v>
      </c>
      <c r="U728">
        <v>-1</v>
      </c>
      <c r="V728" s="4">
        <v>2.89</v>
      </c>
    </row>
    <row r="729" spans="1:22" hidden="1" x14ac:dyDescent="0.35">
      <c r="A729" t="s">
        <v>27</v>
      </c>
      <c r="B729">
        <v>4</v>
      </c>
      <c r="C729">
        <v>3</v>
      </c>
      <c r="D729">
        <v>2</v>
      </c>
      <c r="E729" t="s">
        <v>25</v>
      </c>
      <c r="F729">
        <v>200</v>
      </c>
      <c r="G729">
        <v>3</v>
      </c>
      <c r="H729">
        <v>20</v>
      </c>
      <c r="I729" t="s">
        <v>26</v>
      </c>
      <c r="J729" s="3">
        <v>201.684518</v>
      </c>
      <c r="K729" s="3">
        <v>29375.853999999999</v>
      </c>
      <c r="L729" s="3">
        <v>29375.853999999999</v>
      </c>
      <c r="M729" s="3">
        <v>29375.853999999999</v>
      </c>
      <c r="N729" s="3">
        <v>29375.853999999999</v>
      </c>
      <c r="O729" s="4">
        <v>0</v>
      </c>
      <c r="P729" s="4">
        <v>0</v>
      </c>
      <c r="Q729" s="4">
        <v>0</v>
      </c>
      <c r="R729" s="5">
        <v>3.3E-3</v>
      </c>
      <c r="S729">
        <v>1</v>
      </c>
      <c r="T729" t="b">
        <v>0</v>
      </c>
      <c r="U729">
        <v>1</v>
      </c>
      <c r="V729" s="4">
        <v>7.73</v>
      </c>
    </row>
    <row r="730" spans="1:22" hidden="1" x14ac:dyDescent="0.35">
      <c r="A730" t="s">
        <v>27</v>
      </c>
      <c r="B730">
        <v>4</v>
      </c>
      <c r="C730">
        <v>3</v>
      </c>
      <c r="D730">
        <v>5</v>
      </c>
      <c r="E730" t="s">
        <v>22</v>
      </c>
      <c r="F730">
        <v>50</v>
      </c>
      <c r="G730">
        <v>1</v>
      </c>
      <c r="H730">
        <v>20</v>
      </c>
      <c r="I730" t="s">
        <v>26</v>
      </c>
      <c r="J730" s="3">
        <v>511.81113499999998</v>
      </c>
      <c r="K730" s="3">
        <v>29375.853999999999</v>
      </c>
      <c r="L730" s="3">
        <v>29375.853999999999</v>
      </c>
      <c r="M730" s="3">
        <v>29375.853999999999</v>
      </c>
      <c r="N730" s="3">
        <v>29375.853999999999</v>
      </c>
      <c r="O730" s="4">
        <v>0</v>
      </c>
      <c r="P730" s="4">
        <v>0</v>
      </c>
      <c r="Q730" s="4">
        <v>0</v>
      </c>
      <c r="R730" s="5">
        <v>1E-4</v>
      </c>
      <c r="S730">
        <v>1</v>
      </c>
      <c r="T730" t="b">
        <v>0</v>
      </c>
      <c r="U730">
        <v>1</v>
      </c>
      <c r="V730" s="4">
        <v>15.39</v>
      </c>
    </row>
    <row r="731" spans="1:22" hidden="1" x14ac:dyDescent="0.35">
      <c r="A731" t="s">
        <v>27</v>
      </c>
      <c r="B731">
        <v>4</v>
      </c>
      <c r="C731">
        <v>3</v>
      </c>
      <c r="D731">
        <v>5</v>
      </c>
      <c r="E731" t="s">
        <v>22</v>
      </c>
      <c r="F731">
        <v>50</v>
      </c>
      <c r="G731">
        <v>3</v>
      </c>
      <c r="H731">
        <v>20</v>
      </c>
      <c r="I731" t="s">
        <v>26</v>
      </c>
      <c r="J731" s="3">
        <v>312.18713400000001</v>
      </c>
      <c r="K731" s="3">
        <v>29375.853999999999</v>
      </c>
      <c r="L731" s="3">
        <v>29375.853999999999</v>
      </c>
      <c r="M731" s="3">
        <v>29375.853999999999</v>
      </c>
      <c r="N731" s="3">
        <v>29375.853999999999</v>
      </c>
      <c r="O731" s="4">
        <v>0</v>
      </c>
      <c r="P731" s="4">
        <v>0</v>
      </c>
      <c r="Q731" s="4">
        <v>0</v>
      </c>
      <c r="R731" s="5">
        <v>4.7999999999999996E-3</v>
      </c>
      <c r="S731">
        <v>1</v>
      </c>
      <c r="T731" t="b">
        <v>0</v>
      </c>
      <c r="U731">
        <v>1</v>
      </c>
      <c r="V731" s="4">
        <v>45.51</v>
      </c>
    </row>
    <row r="732" spans="1:22" hidden="1" x14ac:dyDescent="0.35">
      <c r="A732" t="s">
        <v>27</v>
      </c>
      <c r="B732">
        <v>4</v>
      </c>
      <c r="C732">
        <v>3</v>
      </c>
      <c r="D732">
        <v>5</v>
      </c>
      <c r="E732" t="s">
        <v>22</v>
      </c>
      <c r="F732">
        <v>200</v>
      </c>
      <c r="G732">
        <v>1</v>
      </c>
      <c r="H732">
        <v>20</v>
      </c>
      <c r="I732" t="s">
        <v>26</v>
      </c>
      <c r="J732" s="3">
        <v>511.69738100000001</v>
      </c>
      <c r="K732" s="3">
        <v>29375.853999999999</v>
      </c>
      <c r="L732" s="3">
        <v>29375.853999999999</v>
      </c>
      <c r="M732" s="3">
        <v>29375.853999999999</v>
      </c>
      <c r="N732" s="3">
        <v>29375.853999999999</v>
      </c>
      <c r="O732" s="4">
        <v>0</v>
      </c>
      <c r="P732" s="4">
        <v>0</v>
      </c>
      <c r="Q732" s="4">
        <v>0</v>
      </c>
      <c r="R732" s="5">
        <v>1E-4</v>
      </c>
      <c r="S732">
        <v>1</v>
      </c>
      <c r="T732" t="b">
        <v>0</v>
      </c>
      <c r="U732">
        <v>1</v>
      </c>
      <c r="V732" s="4">
        <v>16.87</v>
      </c>
    </row>
    <row r="733" spans="1:22" hidden="1" x14ac:dyDescent="0.35">
      <c r="A733" t="s">
        <v>27</v>
      </c>
      <c r="B733">
        <v>4</v>
      </c>
      <c r="C733">
        <v>3</v>
      </c>
      <c r="D733">
        <v>5</v>
      </c>
      <c r="E733" t="s">
        <v>22</v>
      </c>
      <c r="F733">
        <v>200</v>
      </c>
      <c r="G733">
        <v>3</v>
      </c>
      <c r="H733">
        <v>20</v>
      </c>
      <c r="I733" t="s">
        <v>26</v>
      </c>
      <c r="J733" s="3">
        <v>310.90454399999999</v>
      </c>
      <c r="K733" s="3">
        <v>29375.853999999999</v>
      </c>
      <c r="L733" s="3">
        <v>29375.853999999999</v>
      </c>
      <c r="M733" s="3">
        <v>29375.853999999999</v>
      </c>
      <c r="N733" s="3">
        <v>29375.853999999999</v>
      </c>
      <c r="O733" s="4">
        <v>0</v>
      </c>
      <c r="P733" s="4">
        <v>0</v>
      </c>
      <c r="Q733" s="4">
        <v>0</v>
      </c>
      <c r="R733" s="5">
        <v>4.7999999999999996E-3</v>
      </c>
      <c r="S733">
        <v>1</v>
      </c>
      <c r="T733" t="b">
        <v>0</v>
      </c>
      <c r="U733">
        <v>1</v>
      </c>
      <c r="V733" s="4">
        <v>51.27</v>
      </c>
    </row>
    <row r="734" spans="1:22" hidden="1" x14ac:dyDescent="0.35">
      <c r="A734" t="s">
        <v>27</v>
      </c>
      <c r="B734">
        <v>4</v>
      </c>
      <c r="C734">
        <v>3</v>
      </c>
      <c r="D734">
        <v>5</v>
      </c>
      <c r="E734" t="s">
        <v>25</v>
      </c>
      <c r="F734">
        <v>50</v>
      </c>
      <c r="G734">
        <v>1</v>
      </c>
      <c r="H734">
        <v>20</v>
      </c>
      <c r="I734" t="s">
        <v>26</v>
      </c>
      <c r="J734" s="3">
        <v>536.18922099999997</v>
      </c>
      <c r="K734" s="3" t="s">
        <v>24</v>
      </c>
      <c r="L734" s="3" t="s">
        <v>24</v>
      </c>
      <c r="M734" s="3" t="s">
        <v>24</v>
      </c>
      <c r="N734" s="3">
        <v>29375.853999999999</v>
      </c>
      <c r="O734" s="4"/>
      <c r="P734" s="4"/>
      <c r="Q734" s="4"/>
      <c r="R734" s="5">
        <v>0</v>
      </c>
      <c r="S734">
        <v>0</v>
      </c>
      <c r="T734" t="b">
        <v>1</v>
      </c>
      <c r="U734">
        <v>-1</v>
      </c>
      <c r="V734" s="4">
        <v>2.81</v>
      </c>
    </row>
    <row r="735" spans="1:22" hidden="1" x14ac:dyDescent="0.35">
      <c r="A735" t="s">
        <v>27</v>
      </c>
      <c r="B735">
        <v>4</v>
      </c>
      <c r="C735">
        <v>3</v>
      </c>
      <c r="D735">
        <v>5</v>
      </c>
      <c r="E735" t="s">
        <v>25</v>
      </c>
      <c r="F735">
        <v>50</v>
      </c>
      <c r="G735">
        <v>3</v>
      </c>
      <c r="H735">
        <v>20</v>
      </c>
      <c r="I735" t="s">
        <v>26</v>
      </c>
      <c r="J735" s="3">
        <v>521.79429500000003</v>
      </c>
      <c r="K735" s="3">
        <v>29375.853999999999</v>
      </c>
      <c r="L735" s="3">
        <v>29375.853999999999</v>
      </c>
      <c r="M735" s="3">
        <v>29375.853999999999</v>
      </c>
      <c r="N735" s="3">
        <v>29375.853999999999</v>
      </c>
      <c r="O735" s="4">
        <v>0</v>
      </c>
      <c r="P735" s="4">
        <v>0</v>
      </c>
      <c r="Q735" s="4">
        <v>0</v>
      </c>
      <c r="R735" s="5">
        <v>2.7000000000000001E-3</v>
      </c>
      <c r="S735">
        <v>1</v>
      </c>
      <c r="T735" t="b">
        <v>0</v>
      </c>
      <c r="U735">
        <v>1</v>
      </c>
      <c r="V735" s="4">
        <v>7.63</v>
      </c>
    </row>
    <row r="736" spans="1:22" hidden="1" x14ac:dyDescent="0.35">
      <c r="A736" t="s">
        <v>27</v>
      </c>
      <c r="B736">
        <v>4</v>
      </c>
      <c r="C736">
        <v>3</v>
      </c>
      <c r="D736">
        <v>5</v>
      </c>
      <c r="E736" t="s">
        <v>25</v>
      </c>
      <c r="F736">
        <v>200</v>
      </c>
      <c r="G736">
        <v>1</v>
      </c>
      <c r="H736">
        <v>20</v>
      </c>
      <c r="I736" t="s">
        <v>26</v>
      </c>
      <c r="J736" s="3">
        <v>536.18922099999997</v>
      </c>
      <c r="K736" s="3" t="s">
        <v>24</v>
      </c>
      <c r="L736" s="3" t="s">
        <v>24</v>
      </c>
      <c r="M736" s="3" t="s">
        <v>24</v>
      </c>
      <c r="N736" s="3">
        <v>29375.853999999999</v>
      </c>
      <c r="O736" s="4"/>
      <c r="P736" s="4"/>
      <c r="Q736" s="4"/>
      <c r="R736" s="5">
        <v>0</v>
      </c>
      <c r="S736">
        <v>0</v>
      </c>
      <c r="T736" t="b">
        <v>1</v>
      </c>
      <c r="U736">
        <v>-1</v>
      </c>
      <c r="V736" s="4">
        <v>2.88</v>
      </c>
    </row>
    <row r="737" spans="1:22" hidden="1" x14ac:dyDescent="0.35">
      <c r="A737" t="s">
        <v>27</v>
      </c>
      <c r="B737">
        <v>4</v>
      </c>
      <c r="C737">
        <v>3</v>
      </c>
      <c r="D737">
        <v>5</v>
      </c>
      <c r="E737" t="s">
        <v>25</v>
      </c>
      <c r="F737">
        <v>200</v>
      </c>
      <c r="G737">
        <v>3</v>
      </c>
      <c r="H737">
        <v>20</v>
      </c>
      <c r="I737" t="s">
        <v>26</v>
      </c>
      <c r="J737" s="3">
        <v>521.79429500000003</v>
      </c>
      <c r="K737" s="3">
        <v>29375.853999999999</v>
      </c>
      <c r="L737" s="3">
        <v>29375.853999999999</v>
      </c>
      <c r="M737" s="3">
        <v>29375.853999999999</v>
      </c>
      <c r="N737" s="3">
        <v>29375.853999999999</v>
      </c>
      <c r="O737" s="4">
        <v>0</v>
      </c>
      <c r="P737" s="4">
        <v>0</v>
      </c>
      <c r="Q737" s="4">
        <v>0</v>
      </c>
      <c r="R737" s="5">
        <v>2.7000000000000001E-3</v>
      </c>
      <c r="S737">
        <v>1</v>
      </c>
      <c r="T737" t="b">
        <v>0</v>
      </c>
      <c r="U737">
        <v>1</v>
      </c>
      <c r="V737" s="4">
        <v>7.64</v>
      </c>
    </row>
    <row r="738" spans="1:22" hidden="1" x14ac:dyDescent="0.35">
      <c r="A738" t="s">
        <v>27</v>
      </c>
      <c r="B738">
        <v>4</v>
      </c>
      <c r="C738">
        <v>3</v>
      </c>
      <c r="D738">
        <v>10</v>
      </c>
      <c r="E738" t="s">
        <v>22</v>
      </c>
      <c r="F738">
        <v>50</v>
      </c>
      <c r="G738">
        <v>1</v>
      </c>
      <c r="H738">
        <v>20</v>
      </c>
      <c r="I738" t="s">
        <v>26</v>
      </c>
      <c r="J738" s="3">
        <v>1027.2941840000001</v>
      </c>
      <c r="K738" s="3" t="s">
        <v>24</v>
      </c>
      <c r="L738" s="3" t="s">
        <v>24</v>
      </c>
      <c r="M738" s="3" t="s">
        <v>24</v>
      </c>
      <c r="N738" s="3">
        <v>29375.853999999999</v>
      </c>
      <c r="O738" s="4"/>
      <c r="P738" s="4"/>
      <c r="Q738" s="4"/>
      <c r="R738" s="5">
        <v>0</v>
      </c>
      <c r="S738">
        <v>0</v>
      </c>
      <c r="T738" t="b">
        <v>1</v>
      </c>
      <c r="U738">
        <v>-1</v>
      </c>
      <c r="V738" s="4">
        <v>15.68</v>
      </c>
    </row>
    <row r="739" spans="1:22" hidden="1" x14ac:dyDescent="0.35">
      <c r="A739" t="s">
        <v>27</v>
      </c>
      <c r="B739">
        <v>4</v>
      </c>
      <c r="C739">
        <v>3</v>
      </c>
      <c r="D739">
        <v>10</v>
      </c>
      <c r="E739" t="s">
        <v>22</v>
      </c>
      <c r="F739">
        <v>50</v>
      </c>
      <c r="G739">
        <v>3</v>
      </c>
      <c r="H739">
        <v>20</v>
      </c>
      <c r="I739" t="s">
        <v>26</v>
      </c>
      <c r="J739" s="3">
        <v>973.64685399999996</v>
      </c>
      <c r="K739" s="3">
        <v>29375.853999999999</v>
      </c>
      <c r="L739" s="3">
        <v>29375.853999999999</v>
      </c>
      <c r="M739" s="3">
        <v>29375.853999999999</v>
      </c>
      <c r="N739" s="3">
        <v>29375.853999999999</v>
      </c>
      <c r="O739" s="4">
        <v>0</v>
      </c>
      <c r="P739" s="4">
        <v>0</v>
      </c>
      <c r="Q739" s="4">
        <v>0</v>
      </c>
      <c r="R739" s="5">
        <v>6.9999999999999999E-4</v>
      </c>
      <c r="S739">
        <v>1</v>
      </c>
      <c r="T739" t="b">
        <v>0</v>
      </c>
      <c r="U739">
        <v>1</v>
      </c>
      <c r="V739" s="4">
        <v>45.27</v>
      </c>
    </row>
    <row r="740" spans="1:22" hidden="1" x14ac:dyDescent="0.35">
      <c r="A740" t="s">
        <v>27</v>
      </c>
      <c r="B740">
        <v>4</v>
      </c>
      <c r="C740">
        <v>3</v>
      </c>
      <c r="D740">
        <v>10</v>
      </c>
      <c r="E740" t="s">
        <v>22</v>
      </c>
      <c r="F740">
        <v>200</v>
      </c>
      <c r="G740">
        <v>1</v>
      </c>
      <c r="H740">
        <v>20</v>
      </c>
      <c r="I740" t="s">
        <v>26</v>
      </c>
      <c r="J740" s="3">
        <v>1025.8820740000001</v>
      </c>
      <c r="K740" s="3" t="s">
        <v>24</v>
      </c>
      <c r="L740" s="3" t="s">
        <v>24</v>
      </c>
      <c r="M740" s="3" t="s">
        <v>24</v>
      </c>
      <c r="N740" s="3">
        <v>29375.853999999999</v>
      </c>
      <c r="O740" s="4"/>
      <c r="P740" s="4"/>
      <c r="Q740" s="4"/>
      <c r="R740" s="5">
        <v>0</v>
      </c>
      <c r="S740">
        <v>0</v>
      </c>
      <c r="T740" t="b">
        <v>1</v>
      </c>
      <c r="U740">
        <v>-1</v>
      </c>
      <c r="V740" s="4">
        <v>16.86</v>
      </c>
    </row>
    <row r="741" spans="1:22" hidden="1" x14ac:dyDescent="0.35">
      <c r="A741" t="s">
        <v>27</v>
      </c>
      <c r="B741">
        <v>4</v>
      </c>
      <c r="C741">
        <v>3</v>
      </c>
      <c r="D741">
        <v>10</v>
      </c>
      <c r="E741" t="s">
        <v>22</v>
      </c>
      <c r="F741">
        <v>200</v>
      </c>
      <c r="G741">
        <v>3</v>
      </c>
      <c r="H741">
        <v>20</v>
      </c>
      <c r="I741" t="s">
        <v>26</v>
      </c>
      <c r="J741" s="3">
        <v>965.93397300000004</v>
      </c>
      <c r="K741" s="3">
        <v>29375.853999999999</v>
      </c>
      <c r="L741" s="3">
        <v>29375.853999999999</v>
      </c>
      <c r="M741" s="3">
        <v>29375.853999999999</v>
      </c>
      <c r="N741" s="3">
        <v>29375.853999999999</v>
      </c>
      <c r="O741" s="4">
        <v>0</v>
      </c>
      <c r="P741" s="4">
        <v>0</v>
      </c>
      <c r="Q741" s="4">
        <v>0</v>
      </c>
      <c r="R741" s="5">
        <v>6.9999999999999999E-4</v>
      </c>
      <c r="S741">
        <v>1</v>
      </c>
      <c r="T741" t="b">
        <v>0</v>
      </c>
      <c r="U741">
        <v>1</v>
      </c>
      <c r="V741" s="4">
        <v>52.09</v>
      </c>
    </row>
    <row r="742" spans="1:22" hidden="1" x14ac:dyDescent="0.35">
      <c r="A742" t="s">
        <v>27</v>
      </c>
      <c r="B742">
        <v>4</v>
      </c>
      <c r="C742">
        <v>3</v>
      </c>
      <c r="D742">
        <v>10</v>
      </c>
      <c r="E742" t="s">
        <v>25</v>
      </c>
      <c r="F742">
        <v>50</v>
      </c>
      <c r="G742">
        <v>1</v>
      </c>
      <c r="H742">
        <v>20</v>
      </c>
      <c r="I742" t="s">
        <v>26</v>
      </c>
      <c r="J742" s="3">
        <v>1056.0179479999999</v>
      </c>
      <c r="K742" s="3">
        <v>29375.853999999999</v>
      </c>
      <c r="L742" s="3">
        <v>29375.853999999999</v>
      </c>
      <c r="M742" s="3">
        <v>29375.853999999999</v>
      </c>
      <c r="N742" s="3">
        <v>29375.853999999999</v>
      </c>
      <c r="O742" s="4">
        <v>0</v>
      </c>
      <c r="P742" s="4">
        <v>0</v>
      </c>
      <c r="Q742" s="4">
        <v>0</v>
      </c>
      <c r="R742" s="5">
        <v>2.0000000000000001E-4</v>
      </c>
      <c r="S742">
        <v>1</v>
      </c>
      <c r="T742" t="b">
        <v>0</v>
      </c>
      <c r="U742">
        <v>1</v>
      </c>
      <c r="V742" s="4">
        <v>2.94</v>
      </c>
    </row>
    <row r="743" spans="1:22" hidden="1" x14ac:dyDescent="0.35">
      <c r="A743" t="s">
        <v>27</v>
      </c>
      <c r="B743">
        <v>4</v>
      </c>
      <c r="C743">
        <v>3</v>
      </c>
      <c r="D743">
        <v>10</v>
      </c>
      <c r="E743" t="s">
        <v>25</v>
      </c>
      <c r="F743">
        <v>50</v>
      </c>
      <c r="G743">
        <v>3</v>
      </c>
      <c r="H743">
        <v>20</v>
      </c>
      <c r="I743" t="s">
        <v>26</v>
      </c>
      <c r="J743" s="3">
        <v>1026.6235139999999</v>
      </c>
      <c r="K743" s="3">
        <v>29375.853999999999</v>
      </c>
      <c r="L743" s="3">
        <v>29375.853999999999</v>
      </c>
      <c r="M743" s="3">
        <v>29375.853999999999</v>
      </c>
      <c r="N743" s="3">
        <v>29375.853999999999</v>
      </c>
      <c r="O743" s="4">
        <v>0</v>
      </c>
      <c r="P743" s="4">
        <v>0</v>
      </c>
      <c r="Q743" s="4">
        <v>0</v>
      </c>
      <c r="R743" s="5">
        <v>2E-3</v>
      </c>
      <c r="S743">
        <v>1</v>
      </c>
      <c r="T743" t="b">
        <v>0</v>
      </c>
      <c r="U743">
        <v>1</v>
      </c>
      <c r="V743" s="4">
        <v>7.61</v>
      </c>
    </row>
    <row r="744" spans="1:22" hidden="1" x14ac:dyDescent="0.35">
      <c r="A744" t="s">
        <v>27</v>
      </c>
      <c r="B744">
        <v>4</v>
      </c>
      <c r="C744">
        <v>3</v>
      </c>
      <c r="D744">
        <v>10</v>
      </c>
      <c r="E744" t="s">
        <v>25</v>
      </c>
      <c r="F744">
        <v>200</v>
      </c>
      <c r="G744">
        <v>1</v>
      </c>
      <c r="H744">
        <v>20</v>
      </c>
      <c r="I744" t="s">
        <v>26</v>
      </c>
      <c r="J744" s="3">
        <v>1056.0179479999999</v>
      </c>
      <c r="K744" s="3">
        <v>29375.853999999999</v>
      </c>
      <c r="L744" s="3">
        <v>29375.853999999999</v>
      </c>
      <c r="M744" s="3">
        <v>29375.853999999999</v>
      </c>
      <c r="N744" s="3">
        <v>29375.853999999999</v>
      </c>
      <c r="O744" s="4">
        <v>0</v>
      </c>
      <c r="P744" s="4">
        <v>0</v>
      </c>
      <c r="Q744" s="4">
        <v>0</v>
      </c>
      <c r="R744" s="5">
        <v>2.0000000000000001E-4</v>
      </c>
      <c r="S744">
        <v>1</v>
      </c>
      <c r="T744" t="b">
        <v>0</v>
      </c>
      <c r="U744">
        <v>1</v>
      </c>
      <c r="V744" s="4">
        <v>2.89</v>
      </c>
    </row>
    <row r="745" spans="1:22" hidden="1" x14ac:dyDescent="0.35">
      <c r="A745" t="s">
        <v>27</v>
      </c>
      <c r="B745">
        <v>4</v>
      </c>
      <c r="C745">
        <v>3</v>
      </c>
      <c r="D745">
        <v>10</v>
      </c>
      <c r="E745" t="s">
        <v>25</v>
      </c>
      <c r="F745">
        <v>200</v>
      </c>
      <c r="G745">
        <v>3</v>
      </c>
      <c r="H745">
        <v>20</v>
      </c>
      <c r="I745" t="s">
        <v>26</v>
      </c>
      <c r="J745" s="3">
        <v>1026.6235139999999</v>
      </c>
      <c r="K745" s="3">
        <v>29375.853999999999</v>
      </c>
      <c r="L745" s="3">
        <v>29375.853999999999</v>
      </c>
      <c r="M745" s="3">
        <v>29375.853999999999</v>
      </c>
      <c r="N745" s="3">
        <v>29375.853999999999</v>
      </c>
      <c r="O745" s="4">
        <v>0</v>
      </c>
      <c r="P745" s="4">
        <v>0</v>
      </c>
      <c r="Q745" s="4">
        <v>0</v>
      </c>
      <c r="R745" s="5">
        <v>2E-3</v>
      </c>
      <c r="S745">
        <v>1</v>
      </c>
      <c r="T745" t="b">
        <v>0</v>
      </c>
      <c r="U745">
        <v>1</v>
      </c>
      <c r="V745" s="4">
        <v>7.79</v>
      </c>
    </row>
    <row r="746" spans="1:22" hidden="1" x14ac:dyDescent="0.35">
      <c r="A746" t="s">
        <v>27</v>
      </c>
      <c r="B746">
        <v>4</v>
      </c>
      <c r="C746">
        <v>5</v>
      </c>
      <c r="D746">
        <v>2</v>
      </c>
      <c r="E746" t="s">
        <v>22</v>
      </c>
      <c r="F746">
        <v>50</v>
      </c>
      <c r="G746">
        <v>1</v>
      </c>
      <c r="H746">
        <v>20</v>
      </c>
      <c r="I746" t="s">
        <v>26</v>
      </c>
      <c r="J746" s="3">
        <v>20.736939</v>
      </c>
      <c r="K746" s="3">
        <v>29375.853999999999</v>
      </c>
      <c r="L746" s="3">
        <v>29375.853999999999</v>
      </c>
      <c r="M746" s="3">
        <v>29375.853999999999</v>
      </c>
      <c r="N746" s="3">
        <v>29375.853999999999</v>
      </c>
      <c r="O746" s="4">
        <v>0</v>
      </c>
      <c r="P746" s="4">
        <v>0</v>
      </c>
      <c r="Q746" s="4">
        <v>0</v>
      </c>
      <c r="R746" s="5">
        <v>0.34889999999999999</v>
      </c>
      <c r="S746">
        <v>1</v>
      </c>
      <c r="T746" t="b">
        <v>0</v>
      </c>
      <c r="U746">
        <v>1</v>
      </c>
      <c r="V746" s="4">
        <v>19.37</v>
      </c>
    </row>
    <row r="747" spans="1:22" hidden="1" x14ac:dyDescent="0.35">
      <c r="A747" t="s">
        <v>27</v>
      </c>
      <c r="B747">
        <v>4</v>
      </c>
      <c r="C747">
        <v>5</v>
      </c>
      <c r="D747">
        <v>2</v>
      </c>
      <c r="E747" t="s">
        <v>22</v>
      </c>
      <c r="F747">
        <v>50</v>
      </c>
      <c r="G747">
        <v>3</v>
      </c>
      <c r="H747">
        <v>20</v>
      </c>
      <c r="I747" t="s">
        <v>26</v>
      </c>
      <c r="J747" s="3">
        <v>20.736939</v>
      </c>
      <c r="K747" s="3">
        <v>29375.853999999999</v>
      </c>
      <c r="L747" s="3">
        <v>29375.853999999999</v>
      </c>
      <c r="M747" s="3">
        <v>29375.853999999999</v>
      </c>
      <c r="N747" s="3">
        <v>29375.853999999999</v>
      </c>
      <c r="O747" s="4">
        <v>0</v>
      </c>
      <c r="P747" s="4">
        <v>0</v>
      </c>
      <c r="Q747" s="4">
        <v>0</v>
      </c>
      <c r="R747" s="5">
        <v>0.34889999999999999</v>
      </c>
      <c r="S747">
        <v>1</v>
      </c>
      <c r="T747" t="b">
        <v>0</v>
      </c>
      <c r="U747">
        <v>1</v>
      </c>
      <c r="V747" s="4">
        <v>59.68</v>
      </c>
    </row>
    <row r="748" spans="1:22" hidden="1" x14ac:dyDescent="0.35">
      <c r="A748" t="s">
        <v>27</v>
      </c>
      <c r="B748">
        <v>4</v>
      </c>
      <c r="C748">
        <v>5</v>
      </c>
      <c r="D748">
        <v>2</v>
      </c>
      <c r="E748" t="s">
        <v>22</v>
      </c>
      <c r="F748">
        <v>200</v>
      </c>
      <c r="G748">
        <v>1</v>
      </c>
      <c r="H748">
        <v>20</v>
      </c>
      <c r="I748" t="s">
        <v>26</v>
      </c>
      <c r="J748" s="3">
        <v>20.5364</v>
      </c>
      <c r="K748" s="3">
        <v>29375.853999999999</v>
      </c>
      <c r="L748" s="3">
        <v>29375.853999999999</v>
      </c>
      <c r="M748" s="3">
        <v>29375.853999999999</v>
      </c>
      <c r="N748" s="3">
        <v>29375.853999999999</v>
      </c>
      <c r="O748" s="4">
        <v>0</v>
      </c>
      <c r="P748" s="4">
        <v>0</v>
      </c>
      <c r="Q748" s="4">
        <v>0</v>
      </c>
      <c r="R748" s="5">
        <v>0.34889999999999999</v>
      </c>
      <c r="S748">
        <v>1</v>
      </c>
      <c r="T748" t="b">
        <v>0</v>
      </c>
      <c r="U748">
        <v>1</v>
      </c>
      <c r="V748" s="4">
        <v>34.61</v>
      </c>
    </row>
    <row r="749" spans="1:22" hidden="1" x14ac:dyDescent="0.35">
      <c r="A749" t="s">
        <v>27</v>
      </c>
      <c r="B749">
        <v>4</v>
      </c>
      <c r="C749">
        <v>5</v>
      </c>
      <c r="D749">
        <v>2</v>
      </c>
      <c r="E749" t="s">
        <v>22</v>
      </c>
      <c r="F749">
        <v>200</v>
      </c>
      <c r="G749">
        <v>3</v>
      </c>
      <c r="H749">
        <v>20</v>
      </c>
      <c r="I749" t="s">
        <v>26</v>
      </c>
      <c r="J749" s="3">
        <v>20.5364</v>
      </c>
      <c r="K749" s="3">
        <v>29375.853999999999</v>
      </c>
      <c r="L749" s="3">
        <v>29375.853999999999</v>
      </c>
      <c r="M749" s="3">
        <v>29375.853999999999</v>
      </c>
      <c r="N749" s="3">
        <v>29375.853999999999</v>
      </c>
      <c r="O749" s="4">
        <v>0</v>
      </c>
      <c r="P749" s="4">
        <v>0</v>
      </c>
      <c r="Q749" s="4">
        <v>0</v>
      </c>
      <c r="R749" s="5">
        <v>0.34889999999999999</v>
      </c>
      <c r="S749">
        <v>1</v>
      </c>
      <c r="T749" t="b">
        <v>0</v>
      </c>
      <c r="U749">
        <v>1</v>
      </c>
      <c r="V749" s="4">
        <v>110.08</v>
      </c>
    </row>
    <row r="750" spans="1:22" hidden="1" x14ac:dyDescent="0.35">
      <c r="A750" t="s">
        <v>27</v>
      </c>
      <c r="B750">
        <v>4</v>
      </c>
      <c r="C750">
        <v>5</v>
      </c>
      <c r="D750">
        <v>2</v>
      </c>
      <c r="E750" t="s">
        <v>25</v>
      </c>
      <c r="F750">
        <v>50</v>
      </c>
      <c r="G750">
        <v>1</v>
      </c>
      <c r="H750">
        <v>20</v>
      </c>
      <c r="I750" t="s">
        <v>26</v>
      </c>
      <c r="J750" s="3">
        <v>216.311252</v>
      </c>
      <c r="K750" s="3" t="s">
        <v>24</v>
      </c>
      <c r="L750" s="3" t="s">
        <v>24</v>
      </c>
      <c r="M750" s="3" t="s">
        <v>24</v>
      </c>
      <c r="N750" s="3">
        <v>29375.853999999999</v>
      </c>
      <c r="O750" s="4"/>
      <c r="P750" s="4"/>
      <c r="Q750" s="4"/>
      <c r="R750" s="5">
        <v>0</v>
      </c>
      <c r="S750">
        <v>0</v>
      </c>
      <c r="T750" t="b">
        <v>1</v>
      </c>
      <c r="U750">
        <v>-1</v>
      </c>
      <c r="V750" s="4">
        <v>5.5</v>
      </c>
    </row>
    <row r="751" spans="1:22" hidden="1" x14ac:dyDescent="0.35">
      <c r="A751" t="s">
        <v>27</v>
      </c>
      <c r="B751">
        <v>4</v>
      </c>
      <c r="C751">
        <v>5</v>
      </c>
      <c r="D751">
        <v>2</v>
      </c>
      <c r="E751" t="s">
        <v>25</v>
      </c>
      <c r="F751">
        <v>50</v>
      </c>
      <c r="G751">
        <v>3</v>
      </c>
      <c r="H751">
        <v>20</v>
      </c>
      <c r="I751" t="s">
        <v>26</v>
      </c>
      <c r="J751" s="3">
        <v>213.831185</v>
      </c>
      <c r="K751" s="3">
        <v>29375.853999999999</v>
      </c>
      <c r="L751" s="3">
        <v>29375.853999999999</v>
      </c>
      <c r="M751" s="3">
        <v>29375.853999999999</v>
      </c>
      <c r="N751" s="3">
        <v>29375.853999999999</v>
      </c>
      <c r="O751" s="4">
        <v>0</v>
      </c>
      <c r="P751" s="4">
        <v>0</v>
      </c>
      <c r="Q751" s="4">
        <v>0</v>
      </c>
      <c r="R751" s="5">
        <v>4.0000000000000002E-4</v>
      </c>
      <c r="S751">
        <v>1</v>
      </c>
      <c r="T751" t="b">
        <v>0</v>
      </c>
      <c r="U751">
        <v>1</v>
      </c>
      <c r="V751" s="4">
        <v>15.09</v>
      </c>
    </row>
    <row r="752" spans="1:22" hidden="1" x14ac:dyDescent="0.35">
      <c r="A752" t="s">
        <v>27</v>
      </c>
      <c r="B752">
        <v>4</v>
      </c>
      <c r="C752">
        <v>5</v>
      </c>
      <c r="D752">
        <v>2</v>
      </c>
      <c r="E752" t="s">
        <v>25</v>
      </c>
      <c r="F752">
        <v>200</v>
      </c>
      <c r="G752">
        <v>1</v>
      </c>
      <c r="H752">
        <v>20</v>
      </c>
      <c r="I752" t="s">
        <v>26</v>
      </c>
      <c r="J752" s="3">
        <v>216.311252</v>
      </c>
      <c r="K752" s="3" t="s">
        <v>24</v>
      </c>
      <c r="L752" s="3" t="s">
        <v>24</v>
      </c>
      <c r="M752" s="3" t="s">
        <v>24</v>
      </c>
      <c r="N752" s="3">
        <v>29375.853999999999</v>
      </c>
      <c r="O752" s="4"/>
      <c r="P752" s="4"/>
      <c r="Q752" s="4"/>
      <c r="R752" s="5">
        <v>0</v>
      </c>
      <c r="S752">
        <v>0</v>
      </c>
      <c r="T752" t="b">
        <v>1</v>
      </c>
      <c r="U752">
        <v>-1</v>
      </c>
      <c r="V752" s="4">
        <v>5.69</v>
      </c>
    </row>
    <row r="753" spans="1:22" hidden="1" x14ac:dyDescent="0.35">
      <c r="A753" t="s">
        <v>27</v>
      </c>
      <c r="B753">
        <v>4</v>
      </c>
      <c r="C753">
        <v>5</v>
      </c>
      <c r="D753">
        <v>2</v>
      </c>
      <c r="E753" t="s">
        <v>25</v>
      </c>
      <c r="F753">
        <v>200</v>
      </c>
      <c r="G753">
        <v>3</v>
      </c>
      <c r="H753">
        <v>20</v>
      </c>
      <c r="I753" t="s">
        <v>26</v>
      </c>
      <c r="J753" s="3">
        <v>213.831185</v>
      </c>
      <c r="K753" s="3">
        <v>29375.853999999999</v>
      </c>
      <c r="L753" s="3">
        <v>29375.853999999999</v>
      </c>
      <c r="M753" s="3">
        <v>29375.853999999999</v>
      </c>
      <c r="N753" s="3">
        <v>29375.853999999999</v>
      </c>
      <c r="O753" s="4">
        <v>0</v>
      </c>
      <c r="P753" s="4">
        <v>0</v>
      </c>
      <c r="Q753" s="4">
        <v>0</v>
      </c>
      <c r="R753" s="5">
        <v>4.0000000000000002E-4</v>
      </c>
      <c r="S753">
        <v>1</v>
      </c>
      <c r="T753" t="b">
        <v>0</v>
      </c>
      <c r="U753">
        <v>1</v>
      </c>
      <c r="V753" s="4">
        <v>15.41</v>
      </c>
    </row>
    <row r="754" spans="1:22" hidden="1" x14ac:dyDescent="0.35">
      <c r="A754" t="s">
        <v>27</v>
      </c>
      <c r="B754">
        <v>4</v>
      </c>
      <c r="C754">
        <v>5</v>
      </c>
      <c r="D754">
        <v>5</v>
      </c>
      <c r="E754" t="s">
        <v>22</v>
      </c>
      <c r="F754">
        <v>50</v>
      </c>
      <c r="G754">
        <v>1</v>
      </c>
      <c r="H754">
        <v>20</v>
      </c>
      <c r="I754" t="s">
        <v>26</v>
      </c>
      <c r="J754" s="3">
        <v>46.244883000000002</v>
      </c>
      <c r="K754" s="3">
        <v>29375.853999999999</v>
      </c>
      <c r="L754" s="3">
        <v>29375.853999999999</v>
      </c>
      <c r="M754" s="3">
        <v>29375.853999999999</v>
      </c>
      <c r="N754" s="3">
        <v>29375.853999999999</v>
      </c>
      <c r="O754" s="4">
        <v>0</v>
      </c>
      <c r="P754" s="4">
        <v>0</v>
      </c>
      <c r="Q754" s="4">
        <v>0</v>
      </c>
      <c r="R754" s="5">
        <v>0.37359999999999999</v>
      </c>
      <c r="S754">
        <v>1</v>
      </c>
      <c r="T754" t="b">
        <v>0</v>
      </c>
      <c r="U754">
        <v>1</v>
      </c>
      <c r="V754" s="4">
        <v>19.29</v>
      </c>
    </row>
    <row r="755" spans="1:22" hidden="1" x14ac:dyDescent="0.35">
      <c r="A755" t="s">
        <v>27</v>
      </c>
      <c r="B755">
        <v>4</v>
      </c>
      <c r="C755">
        <v>5</v>
      </c>
      <c r="D755">
        <v>5</v>
      </c>
      <c r="E755" t="s">
        <v>22</v>
      </c>
      <c r="F755">
        <v>50</v>
      </c>
      <c r="G755">
        <v>3</v>
      </c>
      <c r="H755">
        <v>20</v>
      </c>
      <c r="I755" t="s">
        <v>26</v>
      </c>
      <c r="J755" s="3">
        <v>46.244883000000002</v>
      </c>
      <c r="K755" s="3">
        <v>29375.853999999999</v>
      </c>
      <c r="L755" s="3">
        <v>29375.853999999999</v>
      </c>
      <c r="M755" s="3">
        <v>29375.853999999999</v>
      </c>
      <c r="N755" s="3">
        <v>29375.853999999999</v>
      </c>
      <c r="O755" s="4">
        <v>0</v>
      </c>
      <c r="P755" s="4">
        <v>0</v>
      </c>
      <c r="Q755" s="4">
        <v>0</v>
      </c>
      <c r="R755" s="5">
        <v>0.37359999999999999</v>
      </c>
      <c r="S755">
        <v>1</v>
      </c>
      <c r="T755" t="b">
        <v>0</v>
      </c>
      <c r="U755">
        <v>1</v>
      </c>
      <c r="V755" s="4">
        <v>58.94</v>
      </c>
    </row>
    <row r="756" spans="1:22" hidden="1" x14ac:dyDescent="0.35">
      <c r="A756" t="s">
        <v>27</v>
      </c>
      <c r="B756">
        <v>4</v>
      </c>
      <c r="C756">
        <v>5</v>
      </c>
      <c r="D756">
        <v>5</v>
      </c>
      <c r="E756" t="s">
        <v>22</v>
      </c>
      <c r="F756">
        <v>200</v>
      </c>
      <c r="G756">
        <v>1</v>
      </c>
      <c r="H756">
        <v>20</v>
      </c>
      <c r="I756" t="s">
        <v>26</v>
      </c>
      <c r="J756" s="3">
        <v>45.083157</v>
      </c>
      <c r="K756" s="3">
        <v>29375.853999999999</v>
      </c>
      <c r="L756" s="3">
        <v>29375.853999999999</v>
      </c>
      <c r="M756" s="3">
        <v>29375.853999999999</v>
      </c>
      <c r="N756" s="3">
        <v>29375.853999999999</v>
      </c>
      <c r="O756" s="4">
        <v>0</v>
      </c>
      <c r="P756" s="4">
        <v>0</v>
      </c>
      <c r="Q756" s="4">
        <v>0</v>
      </c>
      <c r="R756" s="5">
        <v>0.37480000000000002</v>
      </c>
      <c r="S756">
        <v>1</v>
      </c>
      <c r="T756" t="b">
        <v>0</v>
      </c>
      <c r="U756">
        <v>1</v>
      </c>
      <c r="V756" s="4">
        <v>32.82</v>
      </c>
    </row>
    <row r="757" spans="1:22" hidden="1" x14ac:dyDescent="0.35">
      <c r="A757" t="s">
        <v>27</v>
      </c>
      <c r="B757">
        <v>4</v>
      </c>
      <c r="C757">
        <v>5</v>
      </c>
      <c r="D757">
        <v>5</v>
      </c>
      <c r="E757" t="s">
        <v>22</v>
      </c>
      <c r="F757">
        <v>200</v>
      </c>
      <c r="G757">
        <v>3</v>
      </c>
      <c r="H757">
        <v>20</v>
      </c>
      <c r="I757" t="s">
        <v>26</v>
      </c>
      <c r="J757" s="3">
        <v>45.083157</v>
      </c>
      <c r="K757" s="3">
        <v>29375.853999999999</v>
      </c>
      <c r="L757" s="3">
        <v>29375.853999999999</v>
      </c>
      <c r="M757" s="3">
        <v>29375.853999999999</v>
      </c>
      <c r="N757" s="3">
        <v>29375.853999999999</v>
      </c>
      <c r="O757" s="4">
        <v>0</v>
      </c>
      <c r="P757" s="4">
        <v>0</v>
      </c>
      <c r="Q757" s="4">
        <v>0</v>
      </c>
      <c r="R757" s="5">
        <v>0.37480000000000002</v>
      </c>
      <c r="S757">
        <v>1</v>
      </c>
      <c r="T757" t="b">
        <v>0</v>
      </c>
      <c r="U757">
        <v>1</v>
      </c>
      <c r="V757" s="4">
        <v>117.27</v>
      </c>
    </row>
    <row r="758" spans="1:22" hidden="1" x14ac:dyDescent="0.35">
      <c r="A758" t="s">
        <v>27</v>
      </c>
      <c r="B758">
        <v>4</v>
      </c>
      <c r="C758">
        <v>5</v>
      </c>
      <c r="D758">
        <v>5</v>
      </c>
      <c r="E758" t="s">
        <v>25</v>
      </c>
      <c r="F758">
        <v>50</v>
      </c>
      <c r="G758">
        <v>1</v>
      </c>
      <c r="H758">
        <v>20</v>
      </c>
      <c r="I758" t="s">
        <v>26</v>
      </c>
      <c r="J758" s="3">
        <v>528.02522899999997</v>
      </c>
      <c r="K758" s="3" t="s">
        <v>24</v>
      </c>
      <c r="L758" s="3" t="s">
        <v>24</v>
      </c>
      <c r="M758" s="3" t="s">
        <v>24</v>
      </c>
      <c r="N758" s="3">
        <v>29375.853999999999</v>
      </c>
      <c r="O758" s="4"/>
      <c r="P758" s="4"/>
      <c r="Q758" s="4"/>
      <c r="R758" s="5">
        <v>0</v>
      </c>
      <c r="S758">
        <v>0</v>
      </c>
      <c r="T758" t="b">
        <v>1</v>
      </c>
      <c r="U758">
        <v>-1</v>
      </c>
      <c r="V758" s="4">
        <v>5.53</v>
      </c>
    </row>
    <row r="759" spans="1:22" hidden="1" x14ac:dyDescent="0.35">
      <c r="A759" t="s">
        <v>27</v>
      </c>
      <c r="B759">
        <v>4</v>
      </c>
      <c r="C759">
        <v>5</v>
      </c>
      <c r="D759">
        <v>5</v>
      </c>
      <c r="E759" t="s">
        <v>25</v>
      </c>
      <c r="F759">
        <v>50</v>
      </c>
      <c r="G759">
        <v>3</v>
      </c>
      <c r="H759">
        <v>20</v>
      </c>
      <c r="I759" t="s">
        <v>26</v>
      </c>
      <c r="J759" s="3">
        <v>528.02522899999997</v>
      </c>
      <c r="K759" s="3" t="s">
        <v>24</v>
      </c>
      <c r="L759" s="3" t="s">
        <v>24</v>
      </c>
      <c r="M759" s="3" t="s">
        <v>24</v>
      </c>
      <c r="N759" s="3">
        <v>29375.853999999999</v>
      </c>
      <c r="O759" s="4"/>
      <c r="P759" s="4"/>
      <c r="Q759" s="4"/>
      <c r="R759" s="5">
        <v>0</v>
      </c>
      <c r="S759">
        <v>0</v>
      </c>
      <c r="T759" t="b">
        <v>1</v>
      </c>
      <c r="U759">
        <v>-1</v>
      </c>
      <c r="V759" s="4">
        <v>15.51</v>
      </c>
    </row>
    <row r="760" spans="1:22" hidden="1" x14ac:dyDescent="0.35">
      <c r="A760" t="s">
        <v>27</v>
      </c>
      <c r="B760">
        <v>4</v>
      </c>
      <c r="C760">
        <v>5</v>
      </c>
      <c r="D760">
        <v>5</v>
      </c>
      <c r="E760" t="s">
        <v>25</v>
      </c>
      <c r="F760">
        <v>200</v>
      </c>
      <c r="G760">
        <v>1</v>
      </c>
      <c r="H760">
        <v>20</v>
      </c>
      <c r="I760" t="s">
        <v>26</v>
      </c>
      <c r="J760" s="3">
        <v>528.02522899999997</v>
      </c>
      <c r="K760" s="3" t="s">
        <v>24</v>
      </c>
      <c r="L760" s="3" t="s">
        <v>24</v>
      </c>
      <c r="M760" s="3" t="s">
        <v>24</v>
      </c>
      <c r="N760" s="3">
        <v>29375.853999999999</v>
      </c>
      <c r="O760" s="4"/>
      <c r="P760" s="4"/>
      <c r="Q760" s="4"/>
      <c r="R760" s="5">
        <v>0</v>
      </c>
      <c r="S760">
        <v>0</v>
      </c>
      <c r="T760" t="b">
        <v>1</v>
      </c>
      <c r="U760">
        <v>-1</v>
      </c>
      <c r="V760" s="4">
        <v>5.7</v>
      </c>
    </row>
    <row r="761" spans="1:22" hidden="1" x14ac:dyDescent="0.35">
      <c r="A761" t="s">
        <v>27</v>
      </c>
      <c r="B761">
        <v>4</v>
      </c>
      <c r="C761">
        <v>5</v>
      </c>
      <c r="D761">
        <v>5</v>
      </c>
      <c r="E761" t="s">
        <v>25</v>
      </c>
      <c r="F761">
        <v>200</v>
      </c>
      <c r="G761">
        <v>3</v>
      </c>
      <c r="H761">
        <v>20</v>
      </c>
      <c r="I761" t="s">
        <v>26</v>
      </c>
      <c r="J761" s="3">
        <v>528.02522899999997</v>
      </c>
      <c r="K761" s="3" t="s">
        <v>24</v>
      </c>
      <c r="L761" s="3" t="s">
        <v>24</v>
      </c>
      <c r="M761" s="3" t="s">
        <v>24</v>
      </c>
      <c r="N761" s="3">
        <v>29375.853999999999</v>
      </c>
      <c r="O761" s="4"/>
      <c r="P761" s="4"/>
      <c r="Q761" s="4"/>
      <c r="R761" s="5">
        <v>0</v>
      </c>
      <c r="S761">
        <v>0</v>
      </c>
      <c r="T761" t="b">
        <v>1</v>
      </c>
      <c r="U761">
        <v>-1</v>
      </c>
      <c r="V761" s="4">
        <v>15.24</v>
      </c>
    </row>
    <row r="762" spans="1:22" hidden="1" x14ac:dyDescent="0.35">
      <c r="A762" t="s">
        <v>27</v>
      </c>
      <c r="B762">
        <v>4</v>
      </c>
      <c r="C762">
        <v>5</v>
      </c>
      <c r="D762">
        <v>10</v>
      </c>
      <c r="E762" t="s">
        <v>22</v>
      </c>
      <c r="F762">
        <v>50</v>
      </c>
      <c r="G762">
        <v>1</v>
      </c>
      <c r="H762">
        <v>20</v>
      </c>
      <c r="I762" t="s">
        <v>26</v>
      </c>
      <c r="J762" s="3">
        <v>105.94898000000001</v>
      </c>
      <c r="K762" s="3">
        <v>29375.853999999999</v>
      </c>
      <c r="L762" s="3">
        <v>29375.853999999999</v>
      </c>
      <c r="M762" s="3">
        <v>29375.853999999999</v>
      </c>
      <c r="N762" s="3">
        <v>29375.853999999999</v>
      </c>
      <c r="O762" s="4">
        <v>0</v>
      </c>
      <c r="P762" s="4">
        <v>0</v>
      </c>
      <c r="Q762" s="4">
        <v>0</v>
      </c>
      <c r="R762" s="5">
        <v>0.3458</v>
      </c>
      <c r="S762">
        <v>1</v>
      </c>
      <c r="T762" t="b">
        <v>0</v>
      </c>
      <c r="U762">
        <v>1</v>
      </c>
      <c r="V762" s="4">
        <v>18.52</v>
      </c>
    </row>
    <row r="763" spans="1:22" hidden="1" x14ac:dyDescent="0.35">
      <c r="A763" t="s">
        <v>27</v>
      </c>
      <c r="B763">
        <v>4</v>
      </c>
      <c r="C763">
        <v>5</v>
      </c>
      <c r="D763">
        <v>10</v>
      </c>
      <c r="E763" t="s">
        <v>22</v>
      </c>
      <c r="F763">
        <v>50</v>
      </c>
      <c r="G763">
        <v>3</v>
      </c>
      <c r="H763">
        <v>20</v>
      </c>
      <c r="I763" t="s">
        <v>26</v>
      </c>
      <c r="J763" s="3">
        <v>105.94898000000001</v>
      </c>
      <c r="K763" s="3">
        <v>29375.853999999999</v>
      </c>
      <c r="L763" s="3">
        <v>29375.853999999999</v>
      </c>
      <c r="M763" s="3">
        <v>29375.853999999999</v>
      </c>
      <c r="N763" s="3">
        <v>29375.853999999999</v>
      </c>
      <c r="O763" s="4">
        <v>0</v>
      </c>
      <c r="P763" s="4">
        <v>0</v>
      </c>
      <c r="Q763" s="4">
        <v>0</v>
      </c>
      <c r="R763" s="5">
        <v>0.3458</v>
      </c>
      <c r="S763">
        <v>1</v>
      </c>
      <c r="T763" t="b">
        <v>0</v>
      </c>
      <c r="U763">
        <v>1</v>
      </c>
      <c r="V763" s="4">
        <v>58.75</v>
      </c>
    </row>
    <row r="764" spans="1:22" hidden="1" x14ac:dyDescent="0.35">
      <c r="A764" t="s">
        <v>27</v>
      </c>
      <c r="B764">
        <v>4</v>
      </c>
      <c r="C764">
        <v>5</v>
      </c>
      <c r="D764">
        <v>10</v>
      </c>
      <c r="E764" t="s">
        <v>22</v>
      </c>
      <c r="F764">
        <v>200</v>
      </c>
      <c r="G764">
        <v>1</v>
      </c>
      <c r="H764">
        <v>20</v>
      </c>
      <c r="I764" t="s">
        <v>26</v>
      </c>
      <c r="J764" s="3">
        <v>103.520825</v>
      </c>
      <c r="K764" s="3">
        <v>29375.853999999999</v>
      </c>
      <c r="L764" s="3">
        <v>29375.853999999999</v>
      </c>
      <c r="M764" s="3">
        <v>29375.853999999999</v>
      </c>
      <c r="N764" s="3">
        <v>29375.853999999999</v>
      </c>
      <c r="O764" s="4">
        <v>0</v>
      </c>
      <c r="P764" s="4">
        <v>0</v>
      </c>
      <c r="Q764" s="4">
        <v>0</v>
      </c>
      <c r="R764" s="5">
        <v>0.34649999999999997</v>
      </c>
      <c r="S764">
        <v>1</v>
      </c>
      <c r="T764" t="b">
        <v>0</v>
      </c>
      <c r="U764">
        <v>1</v>
      </c>
      <c r="V764" s="4">
        <v>30.59</v>
      </c>
    </row>
    <row r="765" spans="1:22" hidden="1" x14ac:dyDescent="0.35">
      <c r="A765" t="s">
        <v>27</v>
      </c>
      <c r="B765">
        <v>4</v>
      </c>
      <c r="C765">
        <v>5</v>
      </c>
      <c r="D765">
        <v>10</v>
      </c>
      <c r="E765" t="s">
        <v>22</v>
      </c>
      <c r="F765">
        <v>200</v>
      </c>
      <c r="G765">
        <v>3</v>
      </c>
      <c r="H765">
        <v>20</v>
      </c>
      <c r="I765" t="s">
        <v>26</v>
      </c>
      <c r="J765" s="3">
        <v>103.520825</v>
      </c>
      <c r="K765" s="3">
        <v>29375.853999999999</v>
      </c>
      <c r="L765" s="3">
        <v>29375.853999999999</v>
      </c>
      <c r="M765" s="3">
        <v>29375.853999999999</v>
      </c>
      <c r="N765" s="3">
        <v>29375.853999999999</v>
      </c>
      <c r="O765" s="4">
        <v>0</v>
      </c>
      <c r="P765" s="4">
        <v>0</v>
      </c>
      <c r="Q765" s="4">
        <v>0</v>
      </c>
      <c r="R765" s="5">
        <v>0.34649999999999997</v>
      </c>
      <c r="S765">
        <v>1</v>
      </c>
      <c r="T765" t="b">
        <v>0</v>
      </c>
      <c r="U765">
        <v>1</v>
      </c>
      <c r="V765" s="4">
        <v>100.82</v>
      </c>
    </row>
    <row r="766" spans="1:22" hidden="1" x14ac:dyDescent="0.35">
      <c r="A766" t="s">
        <v>27</v>
      </c>
      <c r="B766">
        <v>4</v>
      </c>
      <c r="C766">
        <v>5</v>
      </c>
      <c r="D766">
        <v>10</v>
      </c>
      <c r="E766" t="s">
        <v>25</v>
      </c>
      <c r="F766">
        <v>50</v>
      </c>
      <c r="G766">
        <v>1</v>
      </c>
      <c r="H766">
        <v>20</v>
      </c>
      <c r="I766" t="s">
        <v>26</v>
      </c>
      <c r="J766" s="3">
        <v>1060.1437249999999</v>
      </c>
      <c r="K766" s="3" t="s">
        <v>24</v>
      </c>
      <c r="L766" s="3" t="s">
        <v>24</v>
      </c>
      <c r="M766" s="3" t="s">
        <v>24</v>
      </c>
      <c r="N766" s="3">
        <v>29375.853999999999</v>
      </c>
      <c r="O766" s="4"/>
      <c r="P766" s="4"/>
      <c r="Q766" s="4"/>
      <c r="R766" s="5">
        <v>0</v>
      </c>
      <c r="S766">
        <v>0</v>
      </c>
      <c r="T766" t="b">
        <v>1</v>
      </c>
      <c r="U766">
        <v>-1</v>
      </c>
      <c r="V766" s="4">
        <v>5.6</v>
      </c>
    </row>
    <row r="767" spans="1:22" hidden="1" x14ac:dyDescent="0.35">
      <c r="A767" t="s">
        <v>27</v>
      </c>
      <c r="B767">
        <v>4</v>
      </c>
      <c r="C767">
        <v>5</v>
      </c>
      <c r="D767">
        <v>10</v>
      </c>
      <c r="E767" t="s">
        <v>25</v>
      </c>
      <c r="F767">
        <v>50</v>
      </c>
      <c r="G767">
        <v>3</v>
      </c>
      <c r="H767">
        <v>20</v>
      </c>
      <c r="I767" t="s">
        <v>26</v>
      </c>
      <c r="J767" s="3">
        <v>1059.167764</v>
      </c>
      <c r="K767" s="3">
        <v>29375.853999999999</v>
      </c>
      <c r="L767" s="3">
        <v>29375.853999999999</v>
      </c>
      <c r="M767" s="3">
        <v>29375.853999999999</v>
      </c>
      <c r="N767" s="3">
        <v>29375.853999999999</v>
      </c>
      <c r="O767" s="4">
        <v>0</v>
      </c>
      <c r="P767" s="4">
        <v>0</v>
      </c>
      <c r="Q767" s="4">
        <v>0</v>
      </c>
      <c r="R767" s="5">
        <v>2.9999999999999997E-4</v>
      </c>
      <c r="S767">
        <v>1</v>
      </c>
      <c r="T767" t="b">
        <v>0</v>
      </c>
      <c r="U767">
        <v>1</v>
      </c>
      <c r="V767" s="4">
        <v>15.38</v>
      </c>
    </row>
    <row r="768" spans="1:22" hidden="1" x14ac:dyDescent="0.35">
      <c r="A768" t="s">
        <v>27</v>
      </c>
      <c r="B768">
        <v>4</v>
      </c>
      <c r="C768">
        <v>5</v>
      </c>
      <c r="D768">
        <v>10</v>
      </c>
      <c r="E768" t="s">
        <v>25</v>
      </c>
      <c r="F768">
        <v>200</v>
      </c>
      <c r="G768">
        <v>1</v>
      </c>
      <c r="H768">
        <v>20</v>
      </c>
      <c r="I768" t="s">
        <v>26</v>
      </c>
      <c r="J768" s="3">
        <v>1060.1437249999999</v>
      </c>
      <c r="K768" s="3" t="s">
        <v>24</v>
      </c>
      <c r="L768" s="3" t="s">
        <v>24</v>
      </c>
      <c r="M768" s="3" t="s">
        <v>24</v>
      </c>
      <c r="N768" s="3">
        <v>29375.853999999999</v>
      </c>
      <c r="O768" s="4"/>
      <c r="P768" s="4"/>
      <c r="Q768" s="4"/>
      <c r="R768" s="5">
        <v>0</v>
      </c>
      <c r="S768">
        <v>0</v>
      </c>
      <c r="T768" t="b">
        <v>1</v>
      </c>
      <c r="U768">
        <v>-1</v>
      </c>
      <c r="V768" s="4">
        <v>5.68</v>
      </c>
    </row>
    <row r="769" spans="1:22" hidden="1" x14ac:dyDescent="0.35">
      <c r="A769" t="s">
        <v>27</v>
      </c>
      <c r="B769">
        <v>4</v>
      </c>
      <c r="C769">
        <v>5</v>
      </c>
      <c r="D769">
        <v>10</v>
      </c>
      <c r="E769" t="s">
        <v>25</v>
      </c>
      <c r="F769">
        <v>200</v>
      </c>
      <c r="G769">
        <v>3</v>
      </c>
      <c r="H769">
        <v>20</v>
      </c>
      <c r="I769" t="s">
        <v>26</v>
      </c>
      <c r="J769" s="3">
        <v>1059.167764</v>
      </c>
      <c r="K769" s="3">
        <v>29375.853999999999</v>
      </c>
      <c r="L769" s="3">
        <v>29375.853999999999</v>
      </c>
      <c r="M769" s="3">
        <v>29375.853999999999</v>
      </c>
      <c r="N769" s="3">
        <v>29375.853999999999</v>
      </c>
      <c r="O769" s="4">
        <v>0</v>
      </c>
      <c r="P769" s="4">
        <v>0</v>
      </c>
      <c r="Q769" s="4">
        <v>0</v>
      </c>
      <c r="R769" s="5">
        <v>2.9999999999999997E-4</v>
      </c>
      <c r="S769">
        <v>1</v>
      </c>
      <c r="T769" t="b">
        <v>0</v>
      </c>
      <c r="U769">
        <v>1</v>
      </c>
      <c r="V769" s="4">
        <v>15.3</v>
      </c>
    </row>
    <row r="770" spans="1:22" hidden="1" x14ac:dyDescent="0.35">
      <c r="A770" t="s">
        <v>28</v>
      </c>
      <c r="B770">
        <v>1</v>
      </c>
      <c r="C770">
        <v>1</v>
      </c>
      <c r="D770">
        <v>2</v>
      </c>
      <c r="E770" t="s">
        <v>22</v>
      </c>
      <c r="F770">
        <v>50</v>
      </c>
      <c r="G770">
        <v>1</v>
      </c>
      <c r="H770">
        <v>16</v>
      </c>
      <c r="I770" t="s">
        <v>23</v>
      </c>
      <c r="J770" s="3">
        <v>131.840632</v>
      </c>
      <c r="K770" s="3">
        <v>10216.15</v>
      </c>
      <c r="L770" s="3">
        <v>11816.173000000001</v>
      </c>
      <c r="M770" s="3">
        <v>10216.15</v>
      </c>
      <c r="N770" s="3">
        <v>10216.15</v>
      </c>
      <c r="O770" s="4">
        <v>0</v>
      </c>
      <c r="P770" s="4">
        <v>15.6617</v>
      </c>
      <c r="Q770" s="4">
        <v>0</v>
      </c>
      <c r="R770" s="5">
        <v>8.9999999999999998E-4</v>
      </c>
      <c r="S770">
        <v>8</v>
      </c>
      <c r="T770" t="b">
        <v>0</v>
      </c>
      <c r="U770">
        <v>5</v>
      </c>
      <c r="V770" s="4">
        <v>4.5599999999999996</v>
      </c>
    </row>
    <row r="771" spans="1:22" hidden="1" x14ac:dyDescent="0.35">
      <c r="A771" t="s">
        <v>28</v>
      </c>
      <c r="B771">
        <v>1</v>
      </c>
      <c r="C771">
        <v>1</v>
      </c>
      <c r="D771">
        <v>2</v>
      </c>
      <c r="E771" t="s">
        <v>22</v>
      </c>
      <c r="F771">
        <v>50</v>
      </c>
      <c r="G771">
        <v>3</v>
      </c>
      <c r="H771">
        <v>16</v>
      </c>
      <c r="I771" t="s">
        <v>23</v>
      </c>
      <c r="J771" s="3">
        <v>41.362453000000002</v>
      </c>
      <c r="K771" s="3">
        <v>10216.15</v>
      </c>
      <c r="L771" s="3">
        <v>11816.173000000001</v>
      </c>
      <c r="M771" s="3">
        <v>10216.15</v>
      </c>
      <c r="N771" s="3">
        <v>10216.15</v>
      </c>
      <c r="O771" s="4">
        <v>0</v>
      </c>
      <c r="P771" s="4">
        <v>15.6617</v>
      </c>
      <c r="Q771" s="4">
        <v>0</v>
      </c>
      <c r="R771" s="5">
        <v>3.2800000000000003E-2</v>
      </c>
      <c r="S771">
        <v>24</v>
      </c>
      <c r="T771" t="b">
        <v>0</v>
      </c>
      <c r="U771">
        <v>8</v>
      </c>
      <c r="V771" s="4">
        <v>14.18</v>
      </c>
    </row>
    <row r="772" spans="1:22" hidden="1" x14ac:dyDescent="0.35">
      <c r="A772" t="s">
        <v>28</v>
      </c>
      <c r="B772">
        <v>1</v>
      </c>
      <c r="C772">
        <v>1</v>
      </c>
      <c r="D772">
        <v>2</v>
      </c>
      <c r="E772" t="s">
        <v>22</v>
      </c>
      <c r="F772">
        <v>200</v>
      </c>
      <c r="G772">
        <v>1</v>
      </c>
      <c r="H772">
        <v>16</v>
      </c>
      <c r="I772" t="s">
        <v>23</v>
      </c>
      <c r="J772" s="3">
        <v>131.840632</v>
      </c>
      <c r="K772" s="3">
        <v>10216.15</v>
      </c>
      <c r="L772" s="3">
        <v>11816.173000000001</v>
      </c>
      <c r="M772" s="3">
        <v>10216.15</v>
      </c>
      <c r="N772" s="3">
        <v>10216.15</v>
      </c>
      <c r="O772" s="4">
        <v>0</v>
      </c>
      <c r="P772" s="4">
        <v>15.6617</v>
      </c>
      <c r="Q772" s="4">
        <v>0</v>
      </c>
      <c r="R772" s="5">
        <v>8.9999999999999998E-4</v>
      </c>
      <c r="S772">
        <v>8</v>
      </c>
      <c r="T772" t="b">
        <v>0</v>
      </c>
      <c r="U772">
        <v>5</v>
      </c>
      <c r="V772" s="4">
        <v>4.75</v>
      </c>
    </row>
    <row r="773" spans="1:22" hidden="1" x14ac:dyDescent="0.35">
      <c r="A773" t="s">
        <v>28</v>
      </c>
      <c r="B773">
        <v>1</v>
      </c>
      <c r="C773">
        <v>1</v>
      </c>
      <c r="D773">
        <v>2</v>
      </c>
      <c r="E773" t="s">
        <v>22</v>
      </c>
      <c r="F773">
        <v>200</v>
      </c>
      <c r="G773">
        <v>3</v>
      </c>
      <c r="H773">
        <v>16</v>
      </c>
      <c r="I773" t="s">
        <v>23</v>
      </c>
      <c r="J773" s="3">
        <v>41.362453000000002</v>
      </c>
      <c r="K773" s="3">
        <v>10216.15</v>
      </c>
      <c r="L773" s="3">
        <v>11816.173000000001</v>
      </c>
      <c r="M773" s="3">
        <v>10216.15</v>
      </c>
      <c r="N773" s="3">
        <v>10216.15</v>
      </c>
      <c r="O773" s="4">
        <v>0</v>
      </c>
      <c r="P773" s="4">
        <v>15.6617</v>
      </c>
      <c r="Q773" s="4">
        <v>0</v>
      </c>
      <c r="R773" s="5">
        <v>3.2800000000000003E-2</v>
      </c>
      <c r="S773">
        <v>24</v>
      </c>
      <c r="T773" t="b">
        <v>0</v>
      </c>
      <c r="U773">
        <v>8</v>
      </c>
      <c r="V773" s="4">
        <v>14.21</v>
      </c>
    </row>
    <row r="774" spans="1:22" hidden="1" x14ac:dyDescent="0.35">
      <c r="A774" t="s">
        <v>28</v>
      </c>
      <c r="B774">
        <v>1</v>
      </c>
      <c r="C774">
        <v>1</v>
      </c>
      <c r="D774">
        <v>2</v>
      </c>
      <c r="E774" t="s">
        <v>25</v>
      </c>
      <c r="F774">
        <v>50</v>
      </c>
      <c r="G774">
        <v>1</v>
      </c>
      <c r="H774">
        <v>16</v>
      </c>
      <c r="I774" t="s">
        <v>23</v>
      </c>
      <c r="J774" s="3">
        <v>142.28735</v>
      </c>
      <c r="K774" s="3">
        <v>10216.15</v>
      </c>
      <c r="L774" s="3">
        <v>12173.496999999999</v>
      </c>
      <c r="M774" s="3">
        <v>10216.15</v>
      </c>
      <c r="N774" s="3">
        <v>10216.15</v>
      </c>
      <c r="O774" s="4">
        <v>0</v>
      </c>
      <c r="P774" s="4">
        <v>19.159300000000002</v>
      </c>
      <c r="Q774" s="4">
        <v>0</v>
      </c>
      <c r="R774" s="5">
        <v>2.3E-3</v>
      </c>
      <c r="S774">
        <v>15</v>
      </c>
      <c r="T774" t="b">
        <v>0</v>
      </c>
      <c r="U774">
        <v>2</v>
      </c>
      <c r="V774" s="4">
        <v>1.01</v>
      </c>
    </row>
    <row r="775" spans="1:22" hidden="1" x14ac:dyDescent="0.35">
      <c r="A775" t="s">
        <v>28</v>
      </c>
      <c r="B775">
        <v>1</v>
      </c>
      <c r="C775">
        <v>1</v>
      </c>
      <c r="D775">
        <v>2</v>
      </c>
      <c r="E775" t="s">
        <v>25</v>
      </c>
      <c r="F775">
        <v>50</v>
      </c>
      <c r="G775">
        <v>3</v>
      </c>
      <c r="H775">
        <v>16</v>
      </c>
      <c r="I775" t="s">
        <v>23</v>
      </c>
      <c r="J775" s="3">
        <v>133.75195600000001</v>
      </c>
      <c r="K775" s="3" t="s">
        <v>24</v>
      </c>
      <c r="L775" s="3" t="s">
        <v>24</v>
      </c>
      <c r="M775" s="3" t="s">
        <v>24</v>
      </c>
      <c r="N775" s="3">
        <v>10216.15</v>
      </c>
      <c r="O775" s="4"/>
      <c r="P775" s="4"/>
      <c r="Q775" s="4"/>
      <c r="R775" s="5">
        <v>0</v>
      </c>
      <c r="S775">
        <v>0</v>
      </c>
      <c r="T775" t="b">
        <v>1</v>
      </c>
      <c r="U775">
        <v>-1</v>
      </c>
      <c r="V775" s="4">
        <v>2.31</v>
      </c>
    </row>
    <row r="776" spans="1:22" hidden="1" x14ac:dyDescent="0.35">
      <c r="A776" t="s">
        <v>28</v>
      </c>
      <c r="B776">
        <v>1</v>
      </c>
      <c r="C776">
        <v>1</v>
      </c>
      <c r="D776">
        <v>2</v>
      </c>
      <c r="E776" t="s">
        <v>25</v>
      </c>
      <c r="F776">
        <v>200</v>
      </c>
      <c r="G776">
        <v>1</v>
      </c>
      <c r="H776">
        <v>16</v>
      </c>
      <c r="I776" t="s">
        <v>23</v>
      </c>
      <c r="J776" s="3">
        <v>142.28735</v>
      </c>
      <c r="K776" s="3">
        <v>10216.15</v>
      </c>
      <c r="L776" s="3">
        <v>12173.496999999999</v>
      </c>
      <c r="M776" s="3">
        <v>10216.15</v>
      </c>
      <c r="N776" s="3">
        <v>10216.15</v>
      </c>
      <c r="O776" s="4">
        <v>0</v>
      </c>
      <c r="P776" s="4">
        <v>19.159300000000002</v>
      </c>
      <c r="Q776" s="4">
        <v>0</v>
      </c>
      <c r="R776" s="5">
        <v>2.3E-3</v>
      </c>
      <c r="S776">
        <v>15</v>
      </c>
      <c r="T776" t="b">
        <v>0</v>
      </c>
      <c r="U776">
        <v>2</v>
      </c>
      <c r="V776" s="4">
        <v>1.02</v>
      </c>
    </row>
    <row r="777" spans="1:22" hidden="1" x14ac:dyDescent="0.35">
      <c r="A777" t="s">
        <v>28</v>
      </c>
      <c r="B777">
        <v>1</v>
      </c>
      <c r="C777">
        <v>1</v>
      </c>
      <c r="D777">
        <v>2</v>
      </c>
      <c r="E777" t="s">
        <v>25</v>
      </c>
      <c r="F777">
        <v>200</v>
      </c>
      <c r="G777">
        <v>3</v>
      </c>
      <c r="H777">
        <v>16</v>
      </c>
      <c r="I777" t="s">
        <v>23</v>
      </c>
      <c r="J777" s="3">
        <v>133.75195600000001</v>
      </c>
      <c r="K777" s="3" t="s">
        <v>24</v>
      </c>
      <c r="L777" s="3" t="s">
        <v>24</v>
      </c>
      <c r="M777" s="3" t="s">
        <v>24</v>
      </c>
      <c r="N777" s="3">
        <v>10216.15</v>
      </c>
      <c r="O777" s="4"/>
      <c r="P777" s="4"/>
      <c r="Q777" s="4"/>
      <c r="R777" s="5">
        <v>0</v>
      </c>
      <c r="S777">
        <v>0</v>
      </c>
      <c r="T777" t="b">
        <v>1</v>
      </c>
      <c r="U777">
        <v>-1</v>
      </c>
      <c r="V777" s="4">
        <v>2.33</v>
      </c>
    </row>
    <row r="778" spans="1:22" hidden="1" x14ac:dyDescent="0.35">
      <c r="A778" t="s">
        <v>28</v>
      </c>
      <c r="B778">
        <v>1</v>
      </c>
      <c r="C778">
        <v>1</v>
      </c>
      <c r="D778">
        <v>5</v>
      </c>
      <c r="E778" t="s">
        <v>22</v>
      </c>
      <c r="F778">
        <v>50</v>
      </c>
      <c r="G778">
        <v>1</v>
      </c>
      <c r="H778">
        <v>16</v>
      </c>
      <c r="I778" t="s">
        <v>23</v>
      </c>
      <c r="J778" s="3">
        <v>78.191756999999996</v>
      </c>
      <c r="K778" s="3">
        <v>10216.15</v>
      </c>
      <c r="L778" s="3">
        <v>13224.505999999999</v>
      </c>
      <c r="M778" s="3">
        <v>10216.15</v>
      </c>
      <c r="N778" s="3">
        <v>10216.15</v>
      </c>
      <c r="O778" s="4">
        <v>0</v>
      </c>
      <c r="P778" s="4">
        <v>29.447099999999999</v>
      </c>
      <c r="Q778" s="4">
        <v>0</v>
      </c>
      <c r="R778" s="5">
        <v>3.6999999999999998E-2</v>
      </c>
      <c r="S778">
        <v>24</v>
      </c>
      <c r="T778" t="b">
        <v>0</v>
      </c>
      <c r="U778">
        <v>9</v>
      </c>
      <c r="V778" s="4">
        <v>5.89</v>
      </c>
    </row>
    <row r="779" spans="1:22" hidden="1" x14ac:dyDescent="0.35">
      <c r="A779" t="s">
        <v>28</v>
      </c>
      <c r="B779">
        <v>1</v>
      </c>
      <c r="C779">
        <v>1</v>
      </c>
      <c r="D779">
        <v>5</v>
      </c>
      <c r="E779" t="s">
        <v>22</v>
      </c>
      <c r="F779">
        <v>50</v>
      </c>
      <c r="G779">
        <v>3</v>
      </c>
      <c r="H779">
        <v>16</v>
      </c>
      <c r="I779" t="s">
        <v>23</v>
      </c>
      <c r="J779" s="3">
        <v>78.191756999999996</v>
      </c>
      <c r="K779" s="3">
        <v>10216.15</v>
      </c>
      <c r="L779" s="3">
        <v>13224.505999999999</v>
      </c>
      <c r="M779" s="3">
        <v>10216.15</v>
      </c>
      <c r="N779" s="3">
        <v>10216.15</v>
      </c>
      <c r="O779" s="4">
        <v>0</v>
      </c>
      <c r="P779" s="4">
        <v>29.447099999999999</v>
      </c>
      <c r="Q779" s="4">
        <v>0</v>
      </c>
      <c r="R779" s="5">
        <v>3.6999999999999998E-2</v>
      </c>
      <c r="S779">
        <v>24</v>
      </c>
      <c r="T779" t="b">
        <v>0</v>
      </c>
      <c r="U779">
        <v>9</v>
      </c>
      <c r="V779" s="4">
        <v>16.77</v>
      </c>
    </row>
    <row r="780" spans="1:22" hidden="1" x14ac:dyDescent="0.35">
      <c r="A780" t="s">
        <v>28</v>
      </c>
      <c r="B780">
        <v>1</v>
      </c>
      <c r="C780">
        <v>1</v>
      </c>
      <c r="D780">
        <v>5</v>
      </c>
      <c r="E780" t="s">
        <v>22</v>
      </c>
      <c r="F780">
        <v>200</v>
      </c>
      <c r="G780">
        <v>1</v>
      </c>
      <c r="H780">
        <v>16</v>
      </c>
      <c r="I780" t="s">
        <v>23</v>
      </c>
      <c r="J780" s="3">
        <v>78.191756999999996</v>
      </c>
      <c r="K780" s="3">
        <v>10216.15</v>
      </c>
      <c r="L780" s="3">
        <v>13224.505999999999</v>
      </c>
      <c r="M780" s="3">
        <v>10216.15</v>
      </c>
      <c r="N780" s="3">
        <v>10216.15</v>
      </c>
      <c r="O780" s="4">
        <v>0</v>
      </c>
      <c r="P780" s="4">
        <v>29.447099999999999</v>
      </c>
      <c r="Q780" s="4">
        <v>0</v>
      </c>
      <c r="R780" s="5">
        <v>3.6999999999999998E-2</v>
      </c>
      <c r="S780">
        <v>24</v>
      </c>
      <c r="T780" t="b">
        <v>0</v>
      </c>
      <c r="U780">
        <v>9</v>
      </c>
      <c r="V780" s="4">
        <v>5.89</v>
      </c>
    </row>
    <row r="781" spans="1:22" hidden="1" x14ac:dyDescent="0.35">
      <c r="A781" t="s">
        <v>28</v>
      </c>
      <c r="B781">
        <v>1</v>
      </c>
      <c r="C781">
        <v>1</v>
      </c>
      <c r="D781">
        <v>5</v>
      </c>
      <c r="E781" t="s">
        <v>22</v>
      </c>
      <c r="F781">
        <v>200</v>
      </c>
      <c r="G781">
        <v>3</v>
      </c>
      <c r="H781">
        <v>16</v>
      </c>
      <c r="I781" t="s">
        <v>23</v>
      </c>
      <c r="J781" s="3">
        <v>78.191756999999996</v>
      </c>
      <c r="K781" s="3">
        <v>10216.15</v>
      </c>
      <c r="L781" s="3">
        <v>13224.505999999999</v>
      </c>
      <c r="M781" s="3">
        <v>10216.15</v>
      </c>
      <c r="N781" s="3">
        <v>10216.15</v>
      </c>
      <c r="O781" s="4">
        <v>0</v>
      </c>
      <c r="P781" s="4">
        <v>29.447099999999999</v>
      </c>
      <c r="Q781" s="4">
        <v>0</v>
      </c>
      <c r="R781" s="5">
        <v>3.6999999999999998E-2</v>
      </c>
      <c r="S781">
        <v>24</v>
      </c>
      <c r="T781" t="b">
        <v>0</v>
      </c>
      <c r="U781">
        <v>9</v>
      </c>
      <c r="V781" s="4">
        <v>16.78</v>
      </c>
    </row>
    <row r="782" spans="1:22" hidden="1" x14ac:dyDescent="0.35">
      <c r="A782" t="s">
        <v>28</v>
      </c>
      <c r="B782">
        <v>1</v>
      </c>
      <c r="C782">
        <v>1</v>
      </c>
      <c r="D782">
        <v>5</v>
      </c>
      <c r="E782" t="s">
        <v>25</v>
      </c>
      <c r="F782">
        <v>50</v>
      </c>
      <c r="G782">
        <v>1</v>
      </c>
      <c r="H782">
        <v>16</v>
      </c>
      <c r="I782" t="s">
        <v>23</v>
      </c>
      <c r="J782" s="3">
        <v>381.04560500000002</v>
      </c>
      <c r="K782" s="3">
        <v>11816.173000000001</v>
      </c>
      <c r="L782" s="3">
        <v>11816.173000000001</v>
      </c>
      <c r="M782" s="3">
        <v>10216.15</v>
      </c>
      <c r="N782" s="3">
        <v>10216.15</v>
      </c>
      <c r="O782" s="4">
        <v>15.6617</v>
      </c>
      <c r="P782" s="4">
        <v>15.6617</v>
      </c>
      <c r="Q782" s="4">
        <v>0</v>
      </c>
      <c r="R782" s="5">
        <v>1.8E-3</v>
      </c>
      <c r="S782">
        <v>13</v>
      </c>
      <c r="T782" t="b">
        <v>0</v>
      </c>
      <c r="U782">
        <v>11</v>
      </c>
      <c r="V782" s="4">
        <v>1</v>
      </c>
    </row>
    <row r="783" spans="1:22" hidden="1" x14ac:dyDescent="0.35">
      <c r="A783" t="s">
        <v>28</v>
      </c>
      <c r="B783">
        <v>1</v>
      </c>
      <c r="C783">
        <v>1</v>
      </c>
      <c r="D783">
        <v>5</v>
      </c>
      <c r="E783" t="s">
        <v>25</v>
      </c>
      <c r="F783">
        <v>50</v>
      </c>
      <c r="G783">
        <v>3</v>
      </c>
      <c r="H783">
        <v>16</v>
      </c>
      <c r="I783" t="s">
        <v>23</v>
      </c>
      <c r="J783" s="3">
        <v>323.54756400000002</v>
      </c>
      <c r="K783" s="3">
        <v>12173.496999999999</v>
      </c>
      <c r="L783" s="3">
        <v>12356.218999999999</v>
      </c>
      <c r="M783" s="3">
        <v>12173.496999999999</v>
      </c>
      <c r="N783" s="3">
        <v>10216.15</v>
      </c>
      <c r="O783" s="4">
        <v>19.159300000000002</v>
      </c>
      <c r="P783" s="4">
        <v>20.947900000000001</v>
      </c>
      <c r="Q783" s="4">
        <v>19.159300000000002</v>
      </c>
      <c r="R783" s="5">
        <v>2.0000000000000001E-4</v>
      </c>
      <c r="S783">
        <v>2</v>
      </c>
      <c r="T783" t="b">
        <v>0</v>
      </c>
      <c r="U783">
        <v>2</v>
      </c>
      <c r="V783" s="4">
        <v>2.2999999999999998</v>
      </c>
    </row>
    <row r="784" spans="1:22" hidden="1" x14ac:dyDescent="0.35">
      <c r="A784" t="s">
        <v>28</v>
      </c>
      <c r="B784">
        <v>1</v>
      </c>
      <c r="C784">
        <v>1</v>
      </c>
      <c r="D784">
        <v>5</v>
      </c>
      <c r="E784" t="s">
        <v>25</v>
      </c>
      <c r="F784">
        <v>200</v>
      </c>
      <c r="G784">
        <v>1</v>
      </c>
      <c r="H784">
        <v>16</v>
      </c>
      <c r="I784" t="s">
        <v>23</v>
      </c>
      <c r="J784" s="3">
        <v>381.04560500000002</v>
      </c>
      <c r="K784" s="3">
        <v>11816.173000000001</v>
      </c>
      <c r="L784" s="3">
        <v>11816.173000000001</v>
      </c>
      <c r="M784" s="3">
        <v>10216.15</v>
      </c>
      <c r="N784" s="3">
        <v>10216.15</v>
      </c>
      <c r="O784" s="4">
        <v>15.6617</v>
      </c>
      <c r="P784" s="4">
        <v>15.6617</v>
      </c>
      <c r="Q784" s="4">
        <v>0</v>
      </c>
      <c r="R784" s="5">
        <v>1.8E-3</v>
      </c>
      <c r="S784">
        <v>13</v>
      </c>
      <c r="T784" t="b">
        <v>0</v>
      </c>
      <c r="U784">
        <v>11</v>
      </c>
      <c r="V784" s="4">
        <v>1</v>
      </c>
    </row>
    <row r="785" spans="1:22" hidden="1" x14ac:dyDescent="0.35">
      <c r="A785" t="s">
        <v>28</v>
      </c>
      <c r="B785">
        <v>1</v>
      </c>
      <c r="C785">
        <v>1</v>
      </c>
      <c r="D785">
        <v>5</v>
      </c>
      <c r="E785" t="s">
        <v>25</v>
      </c>
      <c r="F785">
        <v>200</v>
      </c>
      <c r="G785">
        <v>3</v>
      </c>
      <c r="H785">
        <v>16</v>
      </c>
      <c r="I785" t="s">
        <v>23</v>
      </c>
      <c r="J785" s="3">
        <v>323.54756400000002</v>
      </c>
      <c r="K785" s="3">
        <v>12173.496999999999</v>
      </c>
      <c r="L785" s="3">
        <v>12356.218999999999</v>
      </c>
      <c r="M785" s="3">
        <v>12173.496999999999</v>
      </c>
      <c r="N785" s="3">
        <v>10216.15</v>
      </c>
      <c r="O785" s="4">
        <v>19.159300000000002</v>
      </c>
      <c r="P785" s="4">
        <v>20.947900000000001</v>
      </c>
      <c r="Q785" s="4">
        <v>19.159300000000002</v>
      </c>
      <c r="R785" s="5">
        <v>2.0000000000000001E-4</v>
      </c>
      <c r="S785">
        <v>2</v>
      </c>
      <c r="T785" t="b">
        <v>0</v>
      </c>
      <c r="U785">
        <v>2</v>
      </c>
      <c r="V785" s="4">
        <v>2.33</v>
      </c>
    </row>
    <row r="786" spans="1:22" hidden="1" x14ac:dyDescent="0.35">
      <c r="A786" t="s">
        <v>28</v>
      </c>
      <c r="B786">
        <v>1</v>
      </c>
      <c r="C786">
        <v>1</v>
      </c>
      <c r="D786">
        <v>10</v>
      </c>
      <c r="E786" t="s">
        <v>22</v>
      </c>
      <c r="F786">
        <v>50</v>
      </c>
      <c r="G786">
        <v>1</v>
      </c>
      <c r="H786">
        <v>16</v>
      </c>
      <c r="I786" t="s">
        <v>23</v>
      </c>
      <c r="J786" s="3">
        <v>154.964302</v>
      </c>
      <c r="K786" s="3">
        <v>11816.173000000001</v>
      </c>
      <c r="L786" s="3">
        <v>11886.797</v>
      </c>
      <c r="M786" s="3">
        <v>10216.15</v>
      </c>
      <c r="N786" s="3">
        <v>10216.15</v>
      </c>
      <c r="O786" s="4">
        <v>15.6617</v>
      </c>
      <c r="P786" s="4">
        <v>16.353000000000002</v>
      </c>
      <c r="Q786" s="4">
        <v>0</v>
      </c>
      <c r="R786" s="5">
        <v>3.2899999999999999E-2</v>
      </c>
      <c r="S786">
        <v>24</v>
      </c>
      <c r="T786" t="b">
        <v>0</v>
      </c>
      <c r="U786">
        <v>16</v>
      </c>
      <c r="V786" s="4">
        <v>5.54</v>
      </c>
    </row>
    <row r="787" spans="1:22" hidden="1" x14ac:dyDescent="0.35">
      <c r="A787" t="s">
        <v>28</v>
      </c>
      <c r="B787">
        <v>1</v>
      </c>
      <c r="C787">
        <v>1</v>
      </c>
      <c r="D787">
        <v>10</v>
      </c>
      <c r="E787" t="s">
        <v>22</v>
      </c>
      <c r="F787">
        <v>50</v>
      </c>
      <c r="G787">
        <v>3</v>
      </c>
      <c r="H787">
        <v>16</v>
      </c>
      <c r="I787" t="s">
        <v>23</v>
      </c>
      <c r="J787" s="3">
        <v>154.964302</v>
      </c>
      <c r="K787" s="3">
        <v>11816.173000000001</v>
      </c>
      <c r="L787" s="3">
        <v>11886.797</v>
      </c>
      <c r="M787" s="3">
        <v>10216.15</v>
      </c>
      <c r="N787" s="3">
        <v>10216.15</v>
      </c>
      <c r="O787" s="4">
        <v>15.6617</v>
      </c>
      <c r="P787" s="4">
        <v>16.353000000000002</v>
      </c>
      <c r="Q787" s="4">
        <v>0</v>
      </c>
      <c r="R787" s="5">
        <v>3.2899999999999999E-2</v>
      </c>
      <c r="S787">
        <v>24</v>
      </c>
      <c r="T787" t="b">
        <v>0</v>
      </c>
      <c r="U787">
        <v>16</v>
      </c>
      <c r="V787" s="4">
        <v>15.41</v>
      </c>
    </row>
    <row r="788" spans="1:22" hidden="1" x14ac:dyDescent="0.35">
      <c r="A788" t="s">
        <v>28</v>
      </c>
      <c r="B788">
        <v>1</v>
      </c>
      <c r="C788">
        <v>1</v>
      </c>
      <c r="D788">
        <v>10</v>
      </c>
      <c r="E788" t="s">
        <v>22</v>
      </c>
      <c r="F788">
        <v>200</v>
      </c>
      <c r="G788">
        <v>1</v>
      </c>
      <c r="H788">
        <v>16</v>
      </c>
      <c r="I788" t="s">
        <v>23</v>
      </c>
      <c r="J788" s="3">
        <v>154.964302</v>
      </c>
      <c r="K788" s="3">
        <v>11816.173000000001</v>
      </c>
      <c r="L788" s="3">
        <v>11886.797</v>
      </c>
      <c r="M788" s="3">
        <v>10216.15</v>
      </c>
      <c r="N788" s="3">
        <v>10216.15</v>
      </c>
      <c r="O788" s="4">
        <v>15.6617</v>
      </c>
      <c r="P788" s="4">
        <v>16.353000000000002</v>
      </c>
      <c r="Q788" s="4">
        <v>0</v>
      </c>
      <c r="R788" s="5">
        <v>3.2899999999999999E-2</v>
      </c>
      <c r="S788">
        <v>24</v>
      </c>
      <c r="T788" t="b">
        <v>0</v>
      </c>
      <c r="U788">
        <v>16</v>
      </c>
      <c r="V788" s="4">
        <v>5.56</v>
      </c>
    </row>
    <row r="789" spans="1:22" hidden="1" x14ac:dyDescent="0.35">
      <c r="A789" t="s">
        <v>28</v>
      </c>
      <c r="B789">
        <v>1</v>
      </c>
      <c r="C789">
        <v>1</v>
      </c>
      <c r="D789">
        <v>10</v>
      </c>
      <c r="E789" t="s">
        <v>22</v>
      </c>
      <c r="F789">
        <v>200</v>
      </c>
      <c r="G789">
        <v>3</v>
      </c>
      <c r="H789">
        <v>16</v>
      </c>
      <c r="I789" t="s">
        <v>23</v>
      </c>
      <c r="J789" s="3">
        <v>154.964302</v>
      </c>
      <c r="K789" s="3">
        <v>11816.173000000001</v>
      </c>
      <c r="L789" s="3">
        <v>11886.797</v>
      </c>
      <c r="M789" s="3">
        <v>10216.15</v>
      </c>
      <c r="N789" s="3">
        <v>10216.15</v>
      </c>
      <c r="O789" s="4">
        <v>15.6617</v>
      </c>
      <c r="P789" s="4">
        <v>16.353000000000002</v>
      </c>
      <c r="Q789" s="4">
        <v>0</v>
      </c>
      <c r="R789" s="5">
        <v>3.2899999999999999E-2</v>
      </c>
      <c r="S789">
        <v>24</v>
      </c>
      <c r="T789" t="b">
        <v>0</v>
      </c>
      <c r="U789">
        <v>16</v>
      </c>
      <c r="V789" s="4">
        <v>15.41</v>
      </c>
    </row>
    <row r="790" spans="1:22" hidden="1" x14ac:dyDescent="0.35">
      <c r="A790" t="s">
        <v>28</v>
      </c>
      <c r="B790">
        <v>1</v>
      </c>
      <c r="C790">
        <v>1</v>
      </c>
      <c r="D790">
        <v>10</v>
      </c>
      <c r="E790" t="s">
        <v>25</v>
      </c>
      <c r="F790">
        <v>50</v>
      </c>
      <c r="G790">
        <v>1</v>
      </c>
      <c r="H790">
        <v>16</v>
      </c>
      <c r="I790" t="s">
        <v>23</v>
      </c>
      <c r="J790" s="3">
        <v>766.95287399999995</v>
      </c>
      <c r="K790" s="3">
        <v>11886.797</v>
      </c>
      <c r="L790" s="3">
        <v>12206.07</v>
      </c>
      <c r="M790" s="3">
        <v>11816.173000000001</v>
      </c>
      <c r="N790" s="3">
        <v>10216.15</v>
      </c>
      <c r="O790" s="4">
        <v>16.353000000000002</v>
      </c>
      <c r="P790" s="4">
        <v>19.478200000000001</v>
      </c>
      <c r="Q790" s="4">
        <v>15.6617</v>
      </c>
      <c r="R790" s="5">
        <v>2E-3</v>
      </c>
      <c r="S790">
        <v>14</v>
      </c>
      <c r="T790" t="b">
        <v>0</v>
      </c>
      <c r="U790">
        <v>14</v>
      </c>
      <c r="V790" s="4">
        <v>1.02</v>
      </c>
    </row>
    <row r="791" spans="1:22" hidden="1" x14ac:dyDescent="0.35">
      <c r="A791" t="s">
        <v>28</v>
      </c>
      <c r="B791">
        <v>1</v>
      </c>
      <c r="C791">
        <v>1</v>
      </c>
      <c r="D791">
        <v>10</v>
      </c>
      <c r="E791" t="s">
        <v>25</v>
      </c>
      <c r="F791">
        <v>50</v>
      </c>
      <c r="G791">
        <v>3</v>
      </c>
      <c r="H791">
        <v>16</v>
      </c>
      <c r="I791" t="s">
        <v>23</v>
      </c>
      <c r="J791" s="3">
        <v>632.82858199999998</v>
      </c>
      <c r="K791" s="3">
        <v>11816.173000000001</v>
      </c>
      <c r="L791" s="3">
        <v>14895.153</v>
      </c>
      <c r="M791" s="3">
        <v>11816.173000000001</v>
      </c>
      <c r="N791" s="3">
        <v>10216.15</v>
      </c>
      <c r="O791" s="4">
        <v>15.6617</v>
      </c>
      <c r="P791" s="4">
        <v>45.8001</v>
      </c>
      <c r="Q791" s="4">
        <v>15.6617</v>
      </c>
      <c r="R791" s="5">
        <v>5.9999999999999995E-4</v>
      </c>
      <c r="S791">
        <v>5</v>
      </c>
      <c r="T791" t="b">
        <v>0</v>
      </c>
      <c r="U791">
        <v>5</v>
      </c>
      <c r="V791" s="4">
        <v>2.31</v>
      </c>
    </row>
    <row r="792" spans="1:22" hidden="1" x14ac:dyDescent="0.35">
      <c r="A792" t="s">
        <v>28</v>
      </c>
      <c r="B792">
        <v>1</v>
      </c>
      <c r="C792">
        <v>1</v>
      </c>
      <c r="D792">
        <v>10</v>
      </c>
      <c r="E792" t="s">
        <v>25</v>
      </c>
      <c r="F792">
        <v>200</v>
      </c>
      <c r="G792">
        <v>1</v>
      </c>
      <c r="H792">
        <v>16</v>
      </c>
      <c r="I792" t="s">
        <v>23</v>
      </c>
      <c r="J792" s="3">
        <v>766.95287399999995</v>
      </c>
      <c r="K792" s="3">
        <v>11886.797</v>
      </c>
      <c r="L792" s="3">
        <v>12206.07</v>
      </c>
      <c r="M792" s="3">
        <v>11816.173000000001</v>
      </c>
      <c r="N792" s="3">
        <v>10216.15</v>
      </c>
      <c r="O792" s="4">
        <v>16.353000000000002</v>
      </c>
      <c r="P792" s="4">
        <v>19.478200000000001</v>
      </c>
      <c r="Q792" s="4">
        <v>15.6617</v>
      </c>
      <c r="R792" s="5">
        <v>2E-3</v>
      </c>
      <c r="S792">
        <v>14</v>
      </c>
      <c r="T792" t="b">
        <v>0</v>
      </c>
      <c r="U792">
        <v>14</v>
      </c>
      <c r="V792" s="4">
        <v>1.02</v>
      </c>
    </row>
    <row r="793" spans="1:22" hidden="1" x14ac:dyDescent="0.35">
      <c r="A793" t="s">
        <v>28</v>
      </c>
      <c r="B793">
        <v>1</v>
      </c>
      <c r="C793">
        <v>1</v>
      </c>
      <c r="D793">
        <v>10</v>
      </c>
      <c r="E793" t="s">
        <v>25</v>
      </c>
      <c r="F793">
        <v>200</v>
      </c>
      <c r="G793">
        <v>3</v>
      </c>
      <c r="H793">
        <v>16</v>
      </c>
      <c r="I793" t="s">
        <v>23</v>
      </c>
      <c r="J793" s="3">
        <v>632.82858199999998</v>
      </c>
      <c r="K793" s="3">
        <v>11816.173000000001</v>
      </c>
      <c r="L793" s="3">
        <v>14895.153</v>
      </c>
      <c r="M793" s="3">
        <v>11816.173000000001</v>
      </c>
      <c r="N793" s="3">
        <v>10216.15</v>
      </c>
      <c r="O793" s="4">
        <v>15.6617</v>
      </c>
      <c r="P793" s="4">
        <v>45.8001</v>
      </c>
      <c r="Q793" s="4">
        <v>15.6617</v>
      </c>
      <c r="R793" s="5">
        <v>5.9999999999999995E-4</v>
      </c>
      <c r="S793">
        <v>5</v>
      </c>
      <c r="T793" t="b">
        <v>0</v>
      </c>
      <c r="U793">
        <v>5</v>
      </c>
      <c r="V793" s="4">
        <v>2.3199999999999998</v>
      </c>
    </row>
    <row r="794" spans="1:22" hidden="1" x14ac:dyDescent="0.35">
      <c r="A794" t="s">
        <v>28</v>
      </c>
      <c r="B794">
        <v>1</v>
      </c>
      <c r="C794">
        <v>2</v>
      </c>
      <c r="D794">
        <v>2</v>
      </c>
      <c r="E794" t="s">
        <v>22</v>
      </c>
      <c r="F794">
        <v>50</v>
      </c>
      <c r="G794">
        <v>1</v>
      </c>
      <c r="H794">
        <v>16</v>
      </c>
      <c r="I794" t="s">
        <v>23</v>
      </c>
      <c r="J794" s="3">
        <v>40.832720999999999</v>
      </c>
      <c r="K794" s="3">
        <v>10216.15</v>
      </c>
      <c r="L794" s="3">
        <v>11886.797</v>
      </c>
      <c r="M794" s="3">
        <v>10216.15</v>
      </c>
      <c r="N794" s="3">
        <v>10216.15</v>
      </c>
      <c r="O794" s="4">
        <v>0</v>
      </c>
      <c r="P794" s="4">
        <v>16.353000000000002</v>
      </c>
      <c r="Q794" s="4">
        <v>0</v>
      </c>
      <c r="R794" s="5">
        <v>3.7000000000000002E-3</v>
      </c>
      <c r="S794">
        <v>20</v>
      </c>
      <c r="T794" t="b">
        <v>0</v>
      </c>
      <c r="U794">
        <v>3</v>
      </c>
      <c r="V794" s="4">
        <v>6.34</v>
      </c>
    </row>
    <row r="795" spans="1:22" hidden="1" x14ac:dyDescent="0.35">
      <c r="A795" t="s">
        <v>28</v>
      </c>
      <c r="B795">
        <v>1</v>
      </c>
      <c r="C795">
        <v>2</v>
      </c>
      <c r="D795">
        <v>2</v>
      </c>
      <c r="E795" t="s">
        <v>22</v>
      </c>
      <c r="F795">
        <v>50</v>
      </c>
      <c r="G795">
        <v>3</v>
      </c>
      <c r="H795">
        <v>16</v>
      </c>
      <c r="I795" t="s">
        <v>23</v>
      </c>
      <c r="J795" s="3">
        <v>40.832720999999999</v>
      </c>
      <c r="K795" s="3">
        <v>10216.15</v>
      </c>
      <c r="L795" s="3">
        <v>11886.797</v>
      </c>
      <c r="M795" s="3">
        <v>10216.15</v>
      </c>
      <c r="N795" s="3">
        <v>10216.15</v>
      </c>
      <c r="O795" s="4">
        <v>0</v>
      </c>
      <c r="P795" s="4">
        <v>16.353000000000002</v>
      </c>
      <c r="Q795" s="4">
        <v>0</v>
      </c>
      <c r="R795" s="5">
        <v>3.7000000000000002E-3</v>
      </c>
      <c r="S795">
        <v>20</v>
      </c>
      <c r="T795" t="b">
        <v>0</v>
      </c>
      <c r="U795">
        <v>3</v>
      </c>
      <c r="V795" s="4">
        <v>20.97</v>
      </c>
    </row>
    <row r="796" spans="1:22" hidden="1" x14ac:dyDescent="0.35">
      <c r="A796" t="s">
        <v>28</v>
      </c>
      <c r="B796">
        <v>1</v>
      </c>
      <c r="C796">
        <v>2</v>
      </c>
      <c r="D796">
        <v>2</v>
      </c>
      <c r="E796" t="s">
        <v>22</v>
      </c>
      <c r="F796">
        <v>200</v>
      </c>
      <c r="G796">
        <v>1</v>
      </c>
      <c r="H796">
        <v>16</v>
      </c>
      <c r="I796" t="s">
        <v>23</v>
      </c>
      <c r="J796" s="3">
        <v>40.832720999999999</v>
      </c>
      <c r="K796" s="3">
        <v>10216.15</v>
      </c>
      <c r="L796" s="3">
        <v>11886.797</v>
      </c>
      <c r="M796" s="3">
        <v>10216.15</v>
      </c>
      <c r="N796" s="3">
        <v>10216.15</v>
      </c>
      <c r="O796" s="4">
        <v>0</v>
      </c>
      <c r="P796" s="4">
        <v>16.353000000000002</v>
      </c>
      <c r="Q796" s="4">
        <v>0</v>
      </c>
      <c r="R796" s="5">
        <v>3.7000000000000002E-3</v>
      </c>
      <c r="S796">
        <v>20</v>
      </c>
      <c r="T796" t="b">
        <v>0</v>
      </c>
      <c r="U796">
        <v>3</v>
      </c>
      <c r="V796" s="4">
        <v>6.26</v>
      </c>
    </row>
    <row r="797" spans="1:22" hidden="1" x14ac:dyDescent="0.35">
      <c r="A797" t="s">
        <v>28</v>
      </c>
      <c r="B797">
        <v>1</v>
      </c>
      <c r="C797">
        <v>2</v>
      </c>
      <c r="D797">
        <v>2</v>
      </c>
      <c r="E797" t="s">
        <v>22</v>
      </c>
      <c r="F797">
        <v>200</v>
      </c>
      <c r="G797">
        <v>3</v>
      </c>
      <c r="H797">
        <v>16</v>
      </c>
      <c r="I797" t="s">
        <v>23</v>
      </c>
      <c r="J797" s="3">
        <v>40.832720999999999</v>
      </c>
      <c r="K797" s="3">
        <v>10216.15</v>
      </c>
      <c r="L797" s="3">
        <v>11886.797</v>
      </c>
      <c r="M797" s="3">
        <v>10216.15</v>
      </c>
      <c r="N797" s="3">
        <v>10216.15</v>
      </c>
      <c r="O797" s="4">
        <v>0</v>
      </c>
      <c r="P797" s="4">
        <v>16.353000000000002</v>
      </c>
      <c r="Q797" s="4">
        <v>0</v>
      </c>
      <c r="R797" s="5">
        <v>3.7000000000000002E-3</v>
      </c>
      <c r="S797">
        <v>20</v>
      </c>
      <c r="T797" t="b">
        <v>0</v>
      </c>
      <c r="U797">
        <v>3</v>
      </c>
      <c r="V797" s="4">
        <v>21.78</v>
      </c>
    </row>
    <row r="798" spans="1:22" hidden="1" x14ac:dyDescent="0.35">
      <c r="A798" t="s">
        <v>28</v>
      </c>
      <c r="B798">
        <v>1</v>
      </c>
      <c r="C798">
        <v>2</v>
      </c>
      <c r="D798">
        <v>2</v>
      </c>
      <c r="E798" t="s">
        <v>25</v>
      </c>
      <c r="F798">
        <v>50</v>
      </c>
      <c r="G798">
        <v>1</v>
      </c>
      <c r="H798">
        <v>16</v>
      </c>
      <c r="I798" t="s">
        <v>23</v>
      </c>
      <c r="J798" s="3">
        <v>145.10539499999999</v>
      </c>
      <c r="K798" s="3">
        <v>11816.173000000001</v>
      </c>
      <c r="L798" s="3">
        <v>14895.153</v>
      </c>
      <c r="M798" s="3">
        <v>11816.173000000001</v>
      </c>
      <c r="N798" s="3">
        <v>10216.15</v>
      </c>
      <c r="O798" s="4">
        <v>15.6617</v>
      </c>
      <c r="P798" s="4">
        <v>45.8001</v>
      </c>
      <c r="Q798" s="4">
        <v>15.6617</v>
      </c>
      <c r="R798" s="5">
        <v>1.4E-3</v>
      </c>
      <c r="S798">
        <v>11</v>
      </c>
      <c r="T798" t="b">
        <v>0</v>
      </c>
      <c r="U798">
        <v>8</v>
      </c>
      <c r="V798" s="4">
        <v>1.52</v>
      </c>
    </row>
    <row r="799" spans="1:22" hidden="1" x14ac:dyDescent="0.35">
      <c r="A799" t="s">
        <v>28</v>
      </c>
      <c r="B799">
        <v>1</v>
      </c>
      <c r="C799">
        <v>2</v>
      </c>
      <c r="D799">
        <v>2</v>
      </c>
      <c r="E799" t="s">
        <v>25</v>
      </c>
      <c r="F799">
        <v>50</v>
      </c>
      <c r="G799">
        <v>3</v>
      </c>
      <c r="H799">
        <v>16</v>
      </c>
      <c r="I799" t="s">
        <v>23</v>
      </c>
      <c r="J799" s="3">
        <v>123.00018</v>
      </c>
      <c r="K799" s="3">
        <v>10216.15</v>
      </c>
      <c r="L799" s="3">
        <v>12173.496999999999</v>
      </c>
      <c r="M799" s="3">
        <v>10216.15</v>
      </c>
      <c r="N799" s="3">
        <v>10216.15</v>
      </c>
      <c r="O799" s="4">
        <v>0</v>
      </c>
      <c r="P799" s="4">
        <v>19.159300000000002</v>
      </c>
      <c r="Q799" s="4">
        <v>0</v>
      </c>
      <c r="R799" s="5">
        <v>1.6000000000000001E-3</v>
      </c>
      <c r="S799">
        <v>11</v>
      </c>
      <c r="T799" t="b">
        <v>0</v>
      </c>
      <c r="U799">
        <v>5</v>
      </c>
      <c r="V799" s="4">
        <v>3.38</v>
      </c>
    </row>
    <row r="800" spans="1:22" hidden="1" x14ac:dyDescent="0.35">
      <c r="A800" t="s">
        <v>28</v>
      </c>
      <c r="B800">
        <v>1</v>
      </c>
      <c r="C800">
        <v>2</v>
      </c>
      <c r="D800">
        <v>2</v>
      </c>
      <c r="E800" t="s">
        <v>25</v>
      </c>
      <c r="F800">
        <v>200</v>
      </c>
      <c r="G800">
        <v>1</v>
      </c>
      <c r="H800">
        <v>16</v>
      </c>
      <c r="I800" t="s">
        <v>23</v>
      </c>
      <c r="J800" s="3">
        <v>145.10539499999999</v>
      </c>
      <c r="K800" s="3">
        <v>11816.173000000001</v>
      </c>
      <c r="L800" s="3">
        <v>14895.153</v>
      </c>
      <c r="M800" s="3">
        <v>11816.173000000001</v>
      </c>
      <c r="N800" s="3">
        <v>10216.15</v>
      </c>
      <c r="O800" s="4">
        <v>15.6617</v>
      </c>
      <c r="P800" s="4">
        <v>45.8001</v>
      </c>
      <c r="Q800" s="4">
        <v>15.6617</v>
      </c>
      <c r="R800" s="5">
        <v>1.4E-3</v>
      </c>
      <c r="S800">
        <v>11</v>
      </c>
      <c r="T800" t="b">
        <v>0</v>
      </c>
      <c r="U800">
        <v>8</v>
      </c>
      <c r="V800" s="4">
        <v>1.46</v>
      </c>
    </row>
    <row r="801" spans="1:22" hidden="1" x14ac:dyDescent="0.35">
      <c r="A801" t="s">
        <v>28</v>
      </c>
      <c r="B801">
        <v>1</v>
      </c>
      <c r="C801">
        <v>2</v>
      </c>
      <c r="D801">
        <v>2</v>
      </c>
      <c r="E801" t="s">
        <v>25</v>
      </c>
      <c r="F801">
        <v>200</v>
      </c>
      <c r="G801">
        <v>3</v>
      </c>
      <c r="H801">
        <v>16</v>
      </c>
      <c r="I801" t="s">
        <v>23</v>
      </c>
      <c r="J801" s="3">
        <v>123.00018</v>
      </c>
      <c r="K801" s="3">
        <v>10216.15</v>
      </c>
      <c r="L801" s="3">
        <v>12173.496999999999</v>
      </c>
      <c r="M801" s="3">
        <v>10216.15</v>
      </c>
      <c r="N801" s="3">
        <v>10216.15</v>
      </c>
      <c r="O801" s="4">
        <v>0</v>
      </c>
      <c r="P801" s="4">
        <v>19.159300000000002</v>
      </c>
      <c r="Q801" s="4">
        <v>0</v>
      </c>
      <c r="R801" s="5">
        <v>1.6000000000000001E-3</v>
      </c>
      <c r="S801">
        <v>11</v>
      </c>
      <c r="T801" t="b">
        <v>0</v>
      </c>
      <c r="U801">
        <v>5</v>
      </c>
      <c r="V801" s="4">
        <v>3.34</v>
      </c>
    </row>
    <row r="802" spans="1:22" hidden="1" x14ac:dyDescent="0.35">
      <c r="A802" t="s">
        <v>28</v>
      </c>
      <c r="B802">
        <v>1</v>
      </c>
      <c r="C802">
        <v>2</v>
      </c>
      <c r="D802">
        <v>5</v>
      </c>
      <c r="E802" t="s">
        <v>22</v>
      </c>
      <c r="F802">
        <v>50</v>
      </c>
      <c r="G802">
        <v>1</v>
      </c>
      <c r="H802">
        <v>16</v>
      </c>
      <c r="I802" t="s">
        <v>23</v>
      </c>
      <c r="J802" s="3">
        <v>88.241017999999997</v>
      </c>
      <c r="K802" s="3">
        <v>10216.15</v>
      </c>
      <c r="L802" s="3">
        <v>12356.218999999999</v>
      </c>
      <c r="M802" s="3">
        <v>10216.15</v>
      </c>
      <c r="N802" s="3">
        <v>10216.15</v>
      </c>
      <c r="O802" s="4">
        <v>0</v>
      </c>
      <c r="P802" s="4">
        <v>20.947900000000001</v>
      </c>
      <c r="Q802" s="4">
        <v>0</v>
      </c>
      <c r="R802" s="5">
        <v>1.2699999999999999E-2</v>
      </c>
      <c r="S802">
        <v>23</v>
      </c>
      <c r="T802" t="b">
        <v>0</v>
      </c>
      <c r="U802">
        <v>10</v>
      </c>
      <c r="V802" s="4">
        <v>6.42</v>
      </c>
    </row>
    <row r="803" spans="1:22" hidden="1" x14ac:dyDescent="0.35">
      <c r="A803" t="s">
        <v>28</v>
      </c>
      <c r="B803">
        <v>1</v>
      </c>
      <c r="C803">
        <v>2</v>
      </c>
      <c r="D803">
        <v>5</v>
      </c>
      <c r="E803" t="s">
        <v>22</v>
      </c>
      <c r="F803">
        <v>50</v>
      </c>
      <c r="G803">
        <v>3</v>
      </c>
      <c r="H803">
        <v>16</v>
      </c>
      <c r="I803" t="s">
        <v>23</v>
      </c>
      <c r="J803" s="3">
        <v>78.213729999999998</v>
      </c>
      <c r="K803" s="3">
        <v>11816.173000000001</v>
      </c>
      <c r="L803" s="3">
        <v>12937.806</v>
      </c>
      <c r="M803" s="3">
        <v>10216.15</v>
      </c>
      <c r="N803" s="3">
        <v>10216.15</v>
      </c>
      <c r="O803" s="4">
        <v>15.6617</v>
      </c>
      <c r="P803" s="4">
        <v>26.640699999999999</v>
      </c>
      <c r="Q803" s="4">
        <v>0</v>
      </c>
      <c r="R803" s="5">
        <v>2.92E-2</v>
      </c>
      <c r="S803">
        <v>24</v>
      </c>
      <c r="T803" t="b">
        <v>0</v>
      </c>
      <c r="U803">
        <v>14</v>
      </c>
      <c r="V803" s="4">
        <v>19.75</v>
      </c>
    </row>
    <row r="804" spans="1:22" hidden="1" x14ac:dyDescent="0.35">
      <c r="A804" t="s">
        <v>28</v>
      </c>
      <c r="B804">
        <v>1</v>
      </c>
      <c r="C804">
        <v>2</v>
      </c>
      <c r="D804">
        <v>5</v>
      </c>
      <c r="E804" t="s">
        <v>22</v>
      </c>
      <c r="F804">
        <v>200</v>
      </c>
      <c r="G804">
        <v>1</v>
      </c>
      <c r="H804">
        <v>16</v>
      </c>
      <c r="I804" t="s">
        <v>23</v>
      </c>
      <c r="J804" s="3">
        <v>88.241017999999997</v>
      </c>
      <c r="K804" s="3">
        <v>10216.15</v>
      </c>
      <c r="L804" s="3">
        <v>12356.218999999999</v>
      </c>
      <c r="M804" s="3">
        <v>10216.15</v>
      </c>
      <c r="N804" s="3">
        <v>10216.15</v>
      </c>
      <c r="O804" s="4">
        <v>0</v>
      </c>
      <c r="P804" s="4">
        <v>20.947900000000001</v>
      </c>
      <c r="Q804" s="4">
        <v>0</v>
      </c>
      <c r="R804" s="5">
        <v>1.2699999999999999E-2</v>
      </c>
      <c r="S804">
        <v>23</v>
      </c>
      <c r="T804" t="b">
        <v>0</v>
      </c>
      <c r="U804">
        <v>10</v>
      </c>
      <c r="V804" s="4">
        <v>6.54</v>
      </c>
    </row>
    <row r="805" spans="1:22" hidden="1" x14ac:dyDescent="0.35">
      <c r="A805" t="s">
        <v>28</v>
      </c>
      <c r="B805">
        <v>1</v>
      </c>
      <c r="C805">
        <v>2</v>
      </c>
      <c r="D805">
        <v>5</v>
      </c>
      <c r="E805" t="s">
        <v>22</v>
      </c>
      <c r="F805">
        <v>200</v>
      </c>
      <c r="G805">
        <v>3</v>
      </c>
      <c r="H805">
        <v>16</v>
      </c>
      <c r="I805" t="s">
        <v>23</v>
      </c>
      <c r="J805" s="3">
        <v>78.213729999999998</v>
      </c>
      <c r="K805" s="3">
        <v>11816.173000000001</v>
      </c>
      <c r="L805" s="3">
        <v>12937.806</v>
      </c>
      <c r="M805" s="3">
        <v>10216.15</v>
      </c>
      <c r="N805" s="3">
        <v>10216.15</v>
      </c>
      <c r="O805" s="4">
        <v>15.6617</v>
      </c>
      <c r="P805" s="4">
        <v>26.640699999999999</v>
      </c>
      <c r="Q805" s="4">
        <v>0</v>
      </c>
      <c r="R805" s="5">
        <v>2.92E-2</v>
      </c>
      <c r="S805">
        <v>24</v>
      </c>
      <c r="T805" t="b">
        <v>0</v>
      </c>
      <c r="U805">
        <v>14</v>
      </c>
      <c r="V805" s="4">
        <v>19.559999999999999</v>
      </c>
    </row>
    <row r="806" spans="1:22" hidden="1" x14ac:dyDescent="0.35">
      <c r="A806" t="s">
        <v>28</v>
      </c>
      <c r="B806">
        <v>1</v>
      </c>
      <c r="C806">
        <v>2</v>
      </c>
      <c r="D806">
        <v>5</v>
      </c>
      <c r="E806" t="s">
        <v>25</v>
      </c>
      <c r="F806">
        <v>50</v>
      </c>
      <c r="G806">
        <v>1</v>
      </c>
      <c r="H806">
        <v>16</v>
      </c>
      <c r="I806" t="s">
        <v>23</v>
      </c>
      <c r="J806" s="3">
        <v>349.86748399999999</v>
      </c>
      <c r="K806" s="3">
        <v>11816.173000000001</v>
      </c>
      <c r="L806" s="3">
        <v>13295.13</v>
      </c>
      <c r="M806" s="3">
        <v>11816.173000000001</v>
      </c>
      <c r="N806" s="3">
        <v>10216.15</v>
      </c>
      <c r="O806" s="4">
        <v>15.6617</v>
      </c>
      <c r="P806" s="4">
        <v>30.138400000000001</v>
      </c>
      <c r="Q806" s="4">
        <v>15.6617</v>
      </c>
      <c r="R806" s="5">
        <v>2.2000000000000001E-3</v>
      </c>
      <c r="S806">
        <v>12</v>
      </c>
      <c r="T806" t="b">
        <v>0</v>
      </c>
      <c r="U806">
        <v>12</v>
      </c>
      <c r="V806" s="4">
        <v>1.54</v>
      </c>
    </row>
    <row r="807" spans="1:22" hidden="1" x14ac:dyDescent="0.35">
      <c r="A807" t="s">
        <v>28</v>
      </c>
      <c r="B807">
        <v>1</v>
      </c>
      <c r="C807">
        <v>2</v>
      </c>
      <c r="D807">
        <v>5</v>
      </c>
      <c r="E807" t="s">
        <v>25</v>
      </c>
      <c r="F807">
        <v>50</v>
      </c>
      <c r="G807">
        <v>3</v>
      </c>
      <c r="H807">
        <v>16</v>
      </c>
      <c r="I807" t="s">
        <v>23</v>
      </c>
      <c r="J807" s="3">
        <v>266.38213500000001</v>
      </c>
      <c r="K807" s="3">
        <v>10216.15</v>
      </c>
      <c r="L807" s="3">
        <v>12755.084000000001</v>
      </c>
      <c r="M807" s="3">
        <v>10216.15</v>
      </c>
      <c r="N807" s="3">
        <v>10216.15</v>
      </c>
      <c r="O807" s="4">
        <v>0</v>
      </c>
      <c r="P807" s="4">
        <v>24.8522</v>
      </c>
      <c r="Q807" s="4">
        <v>0</v>
      </c>
      <c r="R807" s="5">
        <v>2.0999999999999999E-3</v>
      </c>
      <c r="S807">
        <v>15</v>
      </c>
      <c r="T807" t="b">
        <v>0</v>
      </c>
      <c r="U807">
        <v>10</v>
      </c>
      <c r="V807" s="4">
        <v>3.26</v>
      </c>
    </row>
    <row r="808" spans="1:22" hidden="1" x14ac:dyDescent="0.35">
      <c r="A808" t="s">
        <v>28</v>
      </c>
      <c r="B808">
        <v>1</v>
      </c>
      <c r="C808">
        <v>2</v>
      </c>
      <c r="D808">
        <v>5</v>
      </c>
      <c r="E808" t="s">
        <v>25</v>
      </c>
      <c r="F808">
        <v>200</v>
      </c>
      <c r="G808">
        <v>1</v>
      </c>
      <c r="H808">
        <v>16</v>
      </c>
      <c r="I808" t="s">
        <v>23</v>
      </c>
      <c r="J808" s="3">
        <v>349.86748399999999</v>
      </c>
      <c r="K808" s="3">
        <v>11816.173000000001</v>
      </c>
      <c r="L808" s="3">
        <v>13295.13</v>
      </c>
      <c r="M808" s="3">
        <v>11816.173000000001</v>
      </c>
      <c r="N808" s="3">
        <v>10216.15</v>
      </c>
      <c r="O808" s="4">
        <v>15.6617</v>
      </c>
      <c r="P808" s="4">
        <v>30.138400000000001</v>
      </c>
      <c r="Q808" s="4">
        <v>15.6617</v>
      </c>
      <c r="R808" s="5">
        <v>2.2000000000000001E-3</v>
      </c>
      <c r="S808">
        <v>12</v>
      </c>
      <c r="T808" t="b">
        <v>0</v>
      </c>
      <c r="U808">
        <v>12</v>
      </c>
      <c r="V808" s="4">
        <v>1.47</v>
      </c>
    </row>
    <row r="809" spans="1:22" hidden="1" x14ac:dyDescent="0.35">
      <c r="A809" t="s">
        <v>28</v>
      </c>
      <c r="B809">
        <v>1</v>
      </c>
      <c r="C809">
        <v>2</v>
      </c>
      <c r="D809">
        <v>5</v>
      </c>
      <c r="E809" t="s">
        <v>25</v>
      </c>
      <c r="F809">
        <v>200</v>
      </c>
      <c r="G809">
        <v>3</v>
      </c>
      <c r="H809">
        <v>16</v>
      </c>
      <c r="I809" t="s">
        <v>23</v>
      </c>
      <c r="J809" s="3">
        <v>266.38213500000001</v>
      </c>
      <c r="K809" s="3">
        <v>10216.15</v>
      </c>
      <c r="L809" s="3">
        <v>12755.084000000001</v>
      </c>
      <c r="M809" s="3">
        <v>10216.15</v>
      </c>
      <c r="N809" s="3">
        <v>10216.15</v>
      </c>
      <c r="O809" s="4">
        <v>0</v>
      </c>
      <c r="P809" s="4">
        <v>24.8522</v>
      </c>
      <c r="Q809" s="4">
        <v>0</v>
      </c>
      <c r="R809" s="5">
        <v>2.0999999999999999E-3</v>
      </c>
      <c r="S809">
        <v>15</v>
      </c>
      <c r="T809" t="b">
        <v>0</v>
      </c>
      <c r="U809">
        <v>10</v>
      </c>
      <c r="V809" s="4">
        <v>3.27</v>
      </c>
    </row>
    <row r="810" spans="1:22" hidden="1" x14ac:dyDescent="0.35">
      <c r="A810" t="s">
        <v>28</v>
      </c>
      <c r="B810">
        <v>1</v>
      </c>
      <c r="C810">
        <v>2</v>
      </c>
      <c r="D810">
        <v>10</v>
      </c>
      <c r="E810" t="s">
        <v>22</v>
      </c>
      <c r="F810">
        <v>50</v>
      </c>
      <c r="G810">
        <v>1</v>
      </c>
      <c r="H810">
        <v>16</v>
      </c>
      <c r="I810" t="s">
        <v>23</v>
      </c>
      <c r="J810" s="3">
        <v>159.44078999999999</v>
      </c>
      <c r="K810" s="3">
        <v>10216.15</v>
      </c>
      <c r="L810" s="3">
        <v>12937.806</v>
      </c>
      <c r="M810" s="3">
        <v>10216.15</v>
      </c>
      <c r="N810" s="3">
        <v>10216.15</v>
      </c>
      <c r="O810" s="4">
        <v>0</v>
      </c>
      <c r="P810" s="4">
        <v>26.640699999999999</v>
      </c>
      <c r="Q810" s="4">
        <v>0</v>
      </c>
      <c r="R810" s="5">
        <v>1.6899999999999998E-2</v>
      </c>
      <c r="S810">
        <v>24</v>
      </c>
      <c r="T810" t="b">
        <v>0</v>
      </c>
      <c r="U810">
        <v>6</v>
      </c>
      <c r="V810" s="4">
        <v>7.51</v>
      </c>
    </row>
    <row r="811" spans="1:22" hidden="1" x14ac:dyDescent="0.35">
      <c r="A811" t="s">
        <v>28</v>
      </c>
      <c r="B811">
        <v>1</v>
      </c>
      <c r="C811">
        <v>2</v>
      </c>
      <c r="D811">
        <v>10</v>
      </c>
      <c r="E811" t="s">
        <v>22</v>
      </c>
      <c r="F811">
        <v>50</v>
      </c>
      <c r="G811">
        <v>3</v>
      </c>
      <c r="H811">
        <v>16</v>
      </c>
      <c r="I811" t="s">
        <v>23</v>
      </c>
      <c r="J811" s="3">
        <v>155.29936499999999</v>
      </c>
      <c r="K811" s="3">
        <v>12173.496999999999</v>
      </c>
      <c r="L811" s="3">
        <v>12356.218999999999</v>
      </c>
      <c r="M811" s="3">
        <v>10216.15</v>
      </c>
      <c r="N811" s="3">
        <v>10216.15</v>
      </c>
      <c r="O811" s="4">
        <v>19.159300000000002</v>
      </c>
      <c r="P811" s="4">
        <v>20.947900000000001</v>
      </c>
      <c r="Q811" s="4">
        <v>0</v>
      </c>
      <c r="R811" s="5">
        <v>3.7900000000000003E-2</v>
      </c>
      <c r="S811">
        <v>24</v>
      </c>
      <c r="T811" t="b">
        <v>0</v>
      </c>
      <c r="U811">
        <v>17</v>
      </c>
      <c r="V811" s="4">
        <v>19.3</v>
      </c>
    </row>
    <row r="812" spans="1:22" hidden="1" x14ac:dyDescent="0.35">
      <c r="A812" t="s">
        <v>28</v>
      </c>
      <c r="B812">
        <v>1</v>
      </c>
      <c r="C812">
        <v>2</v>
      </c>
      <c r="D812">
        <v>10</v>
      </c>
      <c r="E812" t="s">
        <v>22</v>
      </c>
      <c r="F812">
        <v>200</v>
      </c>
      <c r="G812">
        <v>1</v>
      </c>
      <c r="H812">
        <v>16</v>
      </c>
      <c r="I812" t="s">
        <v>23</v>
      </c>
      <c r="J812" s="3">
        <v>159.44078999999999</v>
      </c>
      <c r="K812" s="3">
        <v>10216.15</v>
      </c>
      <c r="L812" s="3">
        <v>12937.806</v>
      </c>
      <c r="M812" s="3">
        <v>10216.15</v>
      </c>
      <c r="N812" s="3">
        <v>10216.15</v>
      </c>
      <c r="O812" s="4">
        <v>0</v>
      </c>
      <c r="P812" s="4">
        <v>26.640699999999999</v>
      </c>
      <c r="Q812" s="4">
        <v>0</v>
      </c>
      <c r="R812" s="5">
        <v>1.6899999999999998E-2</v>
      </c>
      <c r="S812">
        <v>24</v>
      </c>
      <c r="T812" t="b">
        <v>0</v>
      </c>
      <c r="U812">
        <v>6</v>
      </c>
      <c r="V812" s="4">
        <v>7.64</v>
      </c>
    </row>
    <row r="813" spans="1:22" hidden="1" x14ac:dyDescent="0.35">
      <c r="A813" t="s">
        <v>28</v>
      </c>
      <c r="B813">
        <v>1</v>
      </c>
      <c r="C813">
        <v>2</v>
      </c>
      <c r="D813">
        <v>10</v>
      </c>
      <c r="E813" t="s">
        <v>22</v>
      </c>
      <c r="F813">
        <v>200</v>
      </c>
      <c r="G813">
        <v>3</v>
      </c>
      <c r="H813">
        <v>16</v>
      </c>
      <c r="I813" t="s">
        <v>23</v>
      </c>
      <c r="J813" s="3">
        <v>155.29936499999999</v>
      </c>
      <c r="K813" s="3">
        <v>12173.496999999999</v>
      </c>
      <c r="L813" s="3">
        <v>12356.218999999999</v>
      </c>
      <c r="M813" s="3">
        <v>10216.15</v>
      </c>
      <c r="N813" s="3">
        <v>10216.15</v>
      </c>
      <c r="O813" s="4">
        <v>19.159300000000002</v>
      </c>
      <c r="P813" s="4">
        <v>20.947900000000001</v>
      </c>
      <c r="Q813" s="4">
        <v>0</v>
      </c>
      <c r="R813" s="5">
        <v>3.7900000000000003E-2</v>
      </c>
      <c r="S813">
        <v>24</v>
      </c>
      <c r="T813" t="b">
        <v>0</v>
      </c>
      <c r="U813">
        <v>17</v>
      </c>
      <c r="V813" s="4">
        <v>19.5</v>
      </c>
    </row>
    <row r="814" spans="1:22" hidden="1" x14ac:dyDescent="0.35">
      <c r="A814" t="s">
        <v>28</v>
      </c>
      <c r="B814">
        <v>1</v>
      </c>
      <c r="C814">
        <v>2</v>
      </c>
      <c r="D814">
        <v>10</v>
      </c>
      <c r="E814" t="s">
        <v>25</v>
      </c>
      <c r="F814">
        <v>50</v>
      </c>
      <c r="G814">
        <v>1</v>
      </c>
      <c r="H814">
        <v>16</v>
      </c>
      <c r="I814" t="s">
        <v>23</v>
      </c>
      <c r="J814" s="3">
        <v>709.70765400000005</v>
      </c>
      <c r="K814" s="3">
        <v>10216.15</v>
      </c>
      <c r="L814" s="3">
        <v>12356.218999999999</v>
      </c>
      <c r="M814" s="3">
        <v>10216.15</v>
      </c>
      <c r="N814" s="3">
        <v>10216.15</v>
      </c>
      <c r="O814" s="4">
        <v>0</v>
      </c>
      <c r="P814" s="4">
        <v>20.947900000000001</v>
      </c>
      <c r="Q814" s="4">
        <v>0</v>
      </c>
      <c r="R814" s="5">
        <v>1.8E-3</v>
      </c>
      <c r="S814">
        <v>12</v>
      </c>
      <c r="T814" t="b">
        <v>0</v>
      </c>
      <c r="U814">
        <v>5</v>
      </c>
      <c r="V814" s="4">
        <v>1.44</v>
      </c>
    </row>
    <row r="815" spans="1:22" hidden="1" x14ac:dyDescent="0.35">
      <c r="A815" t="s">
        <v>28</v>
      </c>
      <c r="B815">
        <v>1</v>
      </c>
      <c r="C815">
        <v>2</v>
      </c>
      <c r="D815">
        <v>10</v>
      </c>
      <c r="E815" t="s">
        <v>25</v>
      </c>
      <c r="F815">
        <v>50</v>
      </c>
      <c r="G815">
        <v>3</v>
      </c>
      <c r="H815">
        <v>16</v>
      </c>
      <c r="I815" t="s">
        <v>23</v>
      </c>
      <c r="J815" s="3">
        <v>508.10038800000001</v>
      </c>
      <c r="K815" s="3">
        <v>11816.173000000001</v>
      </c>
      <c r="L815" s="3">
        <v>13224.505999999999</v>
      </c>
      <c r="M815" s="3">
        <v>10216.15</v>
      </c>
      <c r="N815" s="3">
        <v>10216.15</v>
      </c>
      <c r="O815" s="4">
        <v>15.6617</v>
      </c>
      <c r="P815" s="4">
        <v>29.447099999999999</v>
      </c>
      <c r="Q815" s="4">
        <v>0</v>
      </c>
      <c r="R815" s="5">
        <v>3.2000000000000002E-3</v>
      </c>
      <c r="S815">
        <v>17</v>
      </c>
      <c r="T815" t="b">
        <v>0</v>
      </c>
      <c r="U815">
        <v>12</v>
      </c>
      <c r="V815" s="4">
        <v>3.27</v>
      </c>
    </row>
    <row r="816" spans="1:22" hidden="1" x14ac:dyDescent="0.35">
      <c r="A816" t="s">
        <v>28</v>
      </c>
      <c r="B816">
        <v>1</v>
      </c>
      <c r="C816">
        <v>2</v>
      </c>
      <c r="D816">
        <v>10</v>
      </c>
      <c r="E816" t="s">
        <v>25</v>
      </c>
      <c r="F816">
        <v>200</v>
      </c>
      <c r="G816">
        <v>1</v>
      </c>
      <c r="H816">
        <v>16</v>
      </c>
      <c r="I816" t="s">
        <v>23</v>
      </c>
      <c r="J816" s="3">
        <v>709.70765400000005</v>
      </c>
      <c r="K816" s="3">
        <v>10216.15</v>
      </c>
      <c r="L816" s="3">
        <v>12356.218999999999</v>
      </c>
      <c r="M816" s="3">
        <v>10216.15</v>
      </c>
      <c r="N816" s="3">
        <v>10216.15</v>
      </c>
      <c r="O816" s="4">
        <v>0</v>
      </c>
      <c r="P816" s="4">
        <v>20.947900000000001</v>
      </c>
      <c r="Q816" s="4">
        <v>0</v>
      </c>
      <c r="R816" s="5">
        <v>1.8E-3</v>
      </c>
      <c r="S816">
        <v>12</v>
      </c>
      <c r="T816" t="b">
        <v>0</v>
      </c>
      <c r="U816">
        <v>5</v>
      </c>
      <c r="V816" s="4">
        <v>1.46</v>
      </c>
    </row>
    <row r="817" spans="1:22" hidden="1" x14ac:dyDescent="0.35">
      <c r="A817" t="s">
        <v>28</v>
      </c>
      <c r="B817">
        <v>1</v>
      </c>
      <c r="C817">
        <v>2</v>
      </c>
      <c r="D817">
        <v>10</v>
      </c>
      <c r="E817" t="s">
        <v>25</v>
      </c>
      <c r="F817">
        <v>200</v>
      </c>
      <c r="G817">
        <v>3</v>
      </c>
      <c r="H817">
        <v>16</v>
      </c>
      <c r="I817" t="s">
        <v>23</v>
      </c>
      <c r="J817" s="3">
        <v>508.10038800000001</v>
      </c>
      <c r="K817" s="3">
        <v>11816.173000000001</v>
      </c>
      <c r="L817" s="3">
        <v>13224.505999999999</v>
      </c>
      <c r="M817" s="3">
        <v>10216.15</v>
      </c>
      <c r="N817" s="3">
        <v>10216.15</v>
      </c>
      <c r="O817" s="4">
        <v>15.6617</v>
      </c>
      <c r="P817" s="4">
        <v>29.447099999999999</v>
      </c>
      <c r="Q817" s="4">
        <v>0</v>
      </c>
      <c r="R817" s="5">
        <v>3.2000000000000002E-3</v>
      </c>
      <c r="S817">
        <v>17</v>
      </c>
      <c r="T817" t="b">
        <v>0</v>
      </c>
      <c r="U817">
        <v>12</v>
      </c>
      <c r="V817" s="4">
        <v>3.18</v>
      </c>
    </row>
    <row r="818" spans="1:22" hidden="1" x14ac:dyDescent="0.35">
      <c r="A818" t="s">
        <v>28</v>
      </c>
      <c r="B818">
        <v>1</v>
      </c>
      <c r="C818">
        <v>3</v>
      </c>
      <c r="D818">
        <v>2</v>
      </c>
      <c r="E818" t="s">
        <v>22</v>
      </c>
      <c r="F818">
        <v>50</v>
      </c>
      <c r="G818">
        <v>1</v>
      </c>
      <c r="H818">
        <v>16</v>
      </c>
      <c r="I818" t="s">
        <v>23</v>
      </c>
      <c r="J818" s="3">
        <v>30.672782999999999</v>
      </c>
      <c r="K818" s="3">
        <v>11816.173000000001</v>
      </c>
      <c r="L818" s="3">
        <v>14895.153</v>
      </c>
      <c r="M818" s="3">
        <v>10216.15</v>
      </c>
      <c r="N818" s="3">
        <v>10216.15</v>
      </c>
      <c r="O818" s="4">
        <v>15.6617</v>
      </c>
      <c r="P818" s="4">
        <v>45.8001</v>
      </c>
      <c r="Q818" s="4">
        <v>0</v>
      </c>
      <c r="R818" s="5">
        <v>6.3299999999999995E-2</v>
      </c>
      <c r="S818">
        <v>24</v>
      </c>
      <c r="T818" t="b">
        <v>0</v>
      </c>
      <c r="U818">
        <v>13</v>
      </c>
      <c r="V818" s="4">
        <v>9.1199999999999992</v>
      </c>
    </row>
    <row r="819" spans="1:22" hidden="1" x14ac:dyDescent="0.35">
      <c r="A819" t="s">
        <v>28</v>
      </c>
      <c r="B819">
        <v>1</v>
      </c>
      <c r="C819">
        <v>3</v>
      </c>
      <c r="D819">
        <v>2</v>
      </c>
      <c r="E819" t="s">
        <v>22</v>
      </c>
      <c r="F819">
        <v>50</v>
      </c>
      <c r="G819">
        <v>3</v>
      </c>
      <c r="H819">
        <v>16</v>
      </c>
      <c r="I819" t="s">
        <v>23</v>
      </c>
      <c r="J819" s="3">
        <v>30.672782999999999</v>
      </c>
      <c r="K819" s="3">
        <v>11816.173000000001</v>
      </c>
      <c r="L819" s="3">
        <v>14895.153</v>
      </c>
      <c r="M819" s="3">
        <v>10216.15</v>
      </c>
      <c r="N819" s="3">
        <v>10216.15</v>
      </c>
      <c r="O819" s="4">
        <v>15.6617</v>
      </c>
      <c r="P819" s="4">
        <v>45.8001</v>
      </c>
      <c r="Q819" s="4">
        <v>0</v>
      </c>
      <c r="R819" s="5">
        <v>6.3299999999999995E-2</v>
      </c>
      <c r="S819">
        <v>24</v>
      </c>
      <c r="T819" t="b">
        <v>0</v>
      </c>
      <c r="U819">
        <v>13</v>
      </c>
      <c r="V819" s="4">
        <v>27.09</v>
      </c>
    </row>
    <row r="820" spans="1:22" hidden="1" x14ac:dyDescent="0.35">
      <c r="A820" t="s">
        <v>28</v>
      </c>
      <c r="B820">
        <v>1</v>
      </c>
      <c r="C820">
        <v>3</v>
      </c>
      <c r="D820">
        <v>2</v>
      </c>
      <c r="E820" t="s">
        <v>22</v>
      </c>
      <c r="F820">
        <v>200</v>
      </c>
      <c r="G820">
        <v>1</v>
      </c>
      <c r="H820">
        <v>16</v>
      </c>
      <c r="I820" t="s">
        <v>23</v>
      </c>
      <c r="J820" s="3">
        <v>30.437189</v>
      </c>
      <c r="K820" s="3">
        <v>11816.173000000001</v>
      </c>
      <c r="L820" s="3">
        <v>14895.153</v>
      </c>
      <c r="M820" s="3">
        <v>10216.15</v>
      </c>
      <c r="N820" s="3">
        <v>10216.15</v>
      </c>
      <c r="O820" s="4">
        <v>15.6617</v>
      </c>
      <c r="P820" s="4">
        <v>45.8001</v>
      </c>
      <c r="Q820" s="4">
        <v>0</v>
      </c>
      <c r="R820" s="5">
        <v>6.4799999999999996E-2</v>
      </c>
      <c r="S820">
        <v>24</v>
      </c>
      <c r="T820" t="b">
        <v>0</v>
      </c>
      <c r="U820">
        <v>20</v>
      </c>
      <c r="V820" s="4">
        <v>12.44</v>
      </c>
    </row>
    <row r="821" spans="1:22" hidden="1" x14ac:dyDescent="0.35">
      <c r="A821" t="s">
        <v>28</v>
      </c>
      <c r="B821">
        <v>1</v>
      </c>
      <c r="C821">
        <v>3</v>
      </c>
      <c r="D821">
        <v>2</v>
      </c>
      <c r="E821" t="s">
        <v>22</v>
      </c>
      <c r="F821">
        <v>200</v>
      </c>
      <c r="G821">
        <v>3</v>
      </c>
      <c r="H821">
        <v>16</v>
      </c>
      <c r="I821" t="s">
        <v>23</v>
      </c>
      <c r="J821" s="3">
        <v>30.437189</v>
      </c>
      <c r="K821" s="3">
        <v>11816.173000000001</v>
      </c>
      <c r="L821" s="3">
        <v>14895.153</v>
      </c>
      <c r="M821" s="3">
        <v>10216.15</v>
      </c>
      <c r="N821" s="3">
        <v>10216.15</v>
      </c>
      <c r="O821" s="4">
        <v>15.6617</v>
      </c>
      <c r="P821" s="4">
        <v>45.8001</v>
      </c>
      <c r="Q821" s="4">
        <v>0</v>
      </c>
      <c r="R821" s="5">
        <v>6.4799999999999996E-2</v>
      </c>
      <c r="S821">
        <v>24</v>
      </c>
      <c r="T821" t="b">
        <v>0</v>
      </c>
      <c r="U821">
        <v>20</v>
      </c>
      <c r="V821" s="4">
        <v>35.17</v>
      </c>
    </row>
    <row r="822" spans="1:22" hidden="1" x14ac:dyDescent="0.35">
      <c r="A822" t="s">
        <v>28</v>
      </c>
      <c r="B822">
        <v>1</v>
      </c>
      <c r="C822">
        <v>3</v>
      </c>
      <c r="D822">
        <v>2</v>
      </c>
      <c r="E822" t="s">
        <v>25</v>
      </c>
      <c r="F822">
        <v>50</v>
      </c>
      <c r="G822">
        <v>1</v>
      </c>
      <c r="H822">
        <v>16</v>
      </c>
      <c r="I822" t="s">
        <v>23</v>
      </c>
      <c r="J822" s="3">
        <v>143.72083499999999</v>
      </c>
      <c r="K822" s="3" t="s">
        <v>24</v>
      </c>
      <c r="L822" s="3" t="s">
        <v>24</v>
      </c>
      <c r="M822" s="3" t="s">
        <v>24</v>
      </c>
      <c r="N822" s="3">
        <v>10216.15</v>
      </c>
      <c r="O822" s="4"/>
      <c r="P822" s="4"/>
      <c r="Q822" s="4"/>
      <c r="R822" s="5">
        <v>0</v>
      </c>
      <c r="S822">
        <v>0</v>
      </c>
      <c r="T822" t="b">
        <v>1</v>
      </c>
      <c r="U822">
        <v>-1</v>
      </c>
      <c r="V822" s="4">
        <v>1.89</v>
      </c>
    </row>
    <row r="823" spans="1:22" hidden="1" x14ac:dyDescent="0.35">
      <c r="A823" t="s">
        <v>28</v>
      </c>
      <c r="B823">
        <v>1</v>
      </c>
      <c r="C823">
        <v>3</v>
      </c>
      <c r="D823">
        <v>2</v>
      </c>
      <c r="E823" t="s">
        <v>25</v>
      </c>
      <c r="F823">
        <v>50</v>
      </c>
      <c r="G823">
        <v>3</v>
      </c>
      <c r="H823">
        <v>16</v>
      </c>
      <c r="I823" t="s">
        <v>23</v>
      </c>
      <c r="J823" s="3">
        <v>130.27879300000001</v>
      </c>
      <c r="K823" s="3">
        <v>10216.15</v>
      </c>
      <c r="L823" s="3">
        <v>10216.15</v>
      </c>
      <c r="M823" s="3">
        <v>10216.15</v>
      </c>
      <c r="N823" s="3">
        <v>10216.15</v>
      </c>
      <c r="O823" s="4">
        <v>0</v>
      </c>
      <c r="P823" s="4">
        <v>0</v>
      </c>
      <c r="Q823" s="4">
        <v>0</v>
      </c>
      <c r="R823" s="5">
        <v>2.5999999999999999E-3</v>
      </c>
      <c r="S823">
        <v>16</v>
      </c>
      <c r="T823" t="b">
        <v>0</v>
      </c>
      <c r="U823">
        <v>1</v>
      </c>
      <c r="V823" s="4">
        <v>4.78</v>
      </c>
    </row>
    <row r="824" spans="1:22" hidden="1" x14ac:dyDescent="0.35">
      <c r="A824" t="s">
        <v>28</v>
      </c>
      <c r="B824">
        <v>1</v>
      </c>
      <c r="C824">
        <v>3</v>
      </c>
      <c r="D824">
        <v>2</v>
      </c>
      <c r="E824" t="s">
        <v>25</v>
      </c>
      <c r="F824">
        <v>200</v>
      </c>
      <c r="G824">
        <v>1</v>
      </c>
      <c r="H824">
        <v>16</v>
      </c>
      <c r="I824" t="s">
        <v>23</v>
      </c>
      <c r="J824" s="3">
        <v>143.72083499999999</v>
      </c>
      <c r="K824" s="3" t="s">
        <v>24</v>
      </c>
      <c r="L824" s="3" t="s">
        <v>24</v>
      </c>
      <c r="M824" s="3" t="s">
        <v>24</v>
      </c>
      <c r="N824" s="3">
        <v>10216.15</v>
      </c>
      <c r="O824" s="4"/>
      <c r="P824" s="4"/>
      <c r="Q824" s="4"/>
      <c r="R824" s="5">
        <v>0</v>
      </c>
      <c r="S824">
        <v>0</v>
      </c>
      <c r="T824" t="b">
        <v>1</v>
      </c>
      <c r="U824">
        <v>-1</v>
      </c>
      <c r="V824" s="4">
        <v>1.88</v>
      </c>
    </row>
    <row r="825" spans="1:22" hidden="1" x14ac:dyDescent="0.35">
      <c r="A825" t="s">
        <v>28</v>
      </c>
      <c r="B825">
        <v>1</v>
      </c>
      <c r="C825">
        <v>3</v>
      </c>
      <c r="D825">
        <v>2</v>
      </c>
      <c r="E825" t="s">
        <v>25</v>
      </c>
      <c r="F825">
        <v>200</v>
      </c>
      <c r="G825">
        <v>3</v>
      </c>
      <c r="H825">
        <v>16</v>
      </c>
      <c r="I825" t="s">
        <v>23</v>
      </c>
      <c r="J825" s="3">
        <v>130.27879300000001</v>
      </c>
      <c r="K825" s="3">
        <v>10216.15</v>
      </c>
      <c r="L825" s="3">
        <v>10216.15</v>
      </c>
      <c r="M825" s="3">
        <v>10216.15</v>
      </c>
      <c r="N825" s="3">
        <v>10216.15</v>
      </c>
      <c r="O825" s="4">
        <v>0</v>
      </c>
      <c r="P825" s="4">
        <v>0</v>
      </c>
      <c r="Q825" s="4">
        <v>0</v>
      </c>
      <c r="R825" s="5">
        <v>2.5999999999999999E-3</v>
      </c>
      <c r="S825">
        <v>16</v>
      </c>
      <c r="T825" t="b">
        <v>0</v>
      </c>
      <c r="U825">
        <v>1</v>
      </c>
      <c r="V825" s="4">
        <v>5</v>
      </c>
    </row>
    <row r="826" spans="1:22" hidden="1" x14ac:dyDescent="0.35">
      <c r="A826" t="s">
        <v>28</v>
      </c>
      <c r="B826">
        <v>1</v>
      </c>
      <c r="C826">
        <v>3</v>
      </c>
      <c r="D826">
        <v>5</v>
      </c>
      <c r="E826" t="s">
        <v>22</v>
      </c>
      <c r="F826">
        <v>50</v>
      </c>
      <c r="G826">
        <v>1</v>
      </c>
      <c r="H826">
        <v>16</v>
      </c>
      <c r="I826" t="s">
        <v>23</v>
      </c>
      <c r="J826" s="3">
        <v>68.837828999999999</v>
      </c>
      <c r="K826" s="3">
        <v>11886.797</v>
      </c>
      <c r="L826" s="3">
        <v>12173.496999999999</v>
      </c>
      <c r="M826" s="3">
        <v>10216.15</v>
      </c>
      <c r="N826" s="3">
        <v>10216.15</v>
      </c>
      <c r="O826" s="4">
        <v>16.353000000000002</v>
      </c>
      <c r="P826" s="4">
        <v>19.159300000000002</v>
      </c>
      <c r="Q826" s="4">
        <v>0</v>
      </c>
      <c r="R826" s="5">
        <v>6.3200000000000006E-2</v>
      </c>
      <c r="S826">
        <v>24</v>
      </c>
      <c r="T826" t="b">
        <v>0</v>
      </c>
      <c r="U826">
        <v>12</v>
      </c>
      <c r="V826" s="4">
        <v>8.41</v>
      </c>
    </row>
    <row r="827" spans="1:22" hidden="1" x14ac:dyDescent="0.35">
      <c r="A827" t="s">
        <v>28</v>
      </c>
      <c r="B827">
        <v>1</v>
      </c>
      <c r="C827">
        <v>3</v>
      </c>
      <c r="D827">
        <v>5</v>
      </c>
      <c r="E827" t="s">
        <v>22</v>
      </c>
      <c r="F827">
        <v>50</v>
      </c>
      <c r="G827">
        <v>3</v>
      </c>
      <c r="H827">
        <v>16</v>
      </c>
      <c r="I827" t="s">
        <v>23</v>
      </c>
      <c r="J827" s="3">
        <v>68.837828999999999</v>
      </c>
      <c r="K827" s="3">
        <v>11886.797</v>
      </c>
      <c r="L827" s="3">
        <v>12173.496999999999</v>
      </c>
      <c r="M827" s="3">
        <v>10216.15</v>
      </c>
      <c r="N827" s="3">
        <v>10216.15</v>
      </c>
      <c r="O827" s="4">
        <v>16.353000000000002</v>
      </c>
      <c r="P827" s="4">
        <v>19.159300000000002</v>
      </c>
      <c r="Q827" s="4">
        <v>0</v>
      </c>
      <c r="R827" s="5">
        <v>6.3200000000000006E-2</v>
      </c>
      <c r="S827">
        <v>24</v>
      </c>
      <c r="T827" t="b">
        <v>0</v>
      </c>
      <c r="U827">
        <v>12</v>
      </c>
      <c r="V827" s="4">
        <v>26.38</v>
      </c>
    </row>
    <row r="828" spans="1:22" hidden="1" x14ac:dyDescent="0.35">
      <c r="A828" t="s">
        <v>28</v>
      </c>
      <c r="B828">
        <v>1</v>
      </c>
      <c r="C828">
        <v>3</v>
      </c>
      <c r="D828">
        <v>5</v>
      </c>
      <c r="E828" t="s">
        <v>22</v>
      </c>
      <c r="F828">
        <v>200</v>
      </c>
      <c r="G828">
        <v>1</v>
      </c>
      <c r="H828">
        <v>16</v>
      </c>
      <c r="I828" t="s">
        <v>23</v>
      </c>
      <c r="J828" s="3">
        <v>66.839617000000004</v>
      </c>
      <c r="K828" s="3">
        <v>10216.15</v>
      </c>
      <c r="L828" s="3">
        <v>12173.496999999999</v>
      </c>
      <c r="M828" s="3">
        <v>10216.15</v>
      </c>
      <c r="N828" s="3">
        <v>10216.15</v>
      </c>
      <c r="O828" s="4">
        <v>0</v>
      </c>
      <c r="P828" s="4">
        <v>19.159300000000002</v>
      </c>
      <c r="Q828" s="4">
        <v>0</v>
      </c>
      <c r="R828" s="5">
        <v>7.0800000000000002E-2</v>
      </c>
      <c r="S828">
        <v>24</v>
      </c>
      <c r="T828" t="b">
        <v>0</v>
      </c>
      <c r="U828">
        <v>5</v>
      </c>
      <c r="V828" s="4">
        <v>13.5</v>
      </c>
    </row>
    <row r="829" spans="1:22" hidden="1" x14ac:dyDescent="0.35">
      <c r="A829" t="s">
        <v>28</v>
      </c>
      <c r="B829">
        <v>1</v>
      </c>
      <c r="C829">
        <v>3</v>
      </c>
      <c r="D829">
        <v>5</v>
      </c>
      <c r="E829" t="s">
        <v>22</v>
      </c>
      <c r="F829">
        <v>200</v>
      </c>
      <c r="G829">
        <v>3</v>
      </c>
      <c r="H829">
        <v>16</v>
      </c>
      <c r="I829" t="s">
        <v>23</v>
      </c>
      <c r="J829" s="3">
        <v>66.839617000000004</v>
      </c>
      <c r="K829" s="3">
        <v>10216.15</v>
      </c>
      <c r="L829" s="3">
        <v>12173.496999999999</v>
      </c>
      <c r="M829" s="3">
        <v>10216.15</v>
      </c>
      <c r="N829" s="3">
        <v>10216.15</v>
      </c>
      <c r="O829" s="4">
        <v>0</v>
      </c>
      <c r="P829" s="4">
        <v>19.159300000000002</v>
      </c>
      <c r="Q829" s="4">
        <v>0</v>
      </c>
      <c r="R829" s="5">
        <v>7.0800000000000002E-2</v>
      </c>
      <c r="S829">
        <v>24</v>
      </c>
      <c r="T829" t="b">
        <v>0</v>
      </c>
      <c r="U829">
        <v>5</v>
      </c>
      <c r="V829" s="4">
        <v>33.15</v>
      </c>
    </row>
    <row r="830" spans="1:22" hidden="1" x14ac:dyDescent="0.35">
      <c r="A830" t="s">
        <v>28</v>
      </c>
      <c r="B830">
        <v>1</v>
      </c>
      <c r="C830">
        <v>3</v>
      </c>
      <c r="D830">
        <v>5</v>
      </c>
      <c r="E830" t="s">
        <v>25</v>
      </c>
      <c r="F830">
        <v>50</v>
      </c>
      <c r="G830">
        <v>1</v>
      </c>
      <c r="H830">
        <v>16</v>
      </c>
      <c r="I830" t="s">
        <v>23</v>
      </c>
      <c r="J830" s="3">
        <v>348.348882</v>
      </c>
      <c r="K830" s="3" t="s">
        <v>24</v>
      </c>
      <c r="L830" s="3" t="s">
        <v>24</v>
      </c>
      <c r="M830" s="3" t="s">
        <v>24</v>
      </c>
      <c r="N830" s="3">
        <v>10216.15</v>
      </c>
      <c r="O830" s="4"/>
      <c r="P830" s="4"/>
      <c r="Q830" s="4"/>
      <c r="R830" s="5">
        <v>0</v>
      </c>
      <c r="S830">
        <v>0</v>
      </c>
      <c r="T830" t="b">
        <v>1</v>
      </c>
      <c r="U830">
        <v>-1</v>
      </c>
      <c r="V830" s="4">
        <v>1.91</v>
      </c>
    </row>
    <row r="831" spans="1:22" hidden="1" x14ac:dyDescent="0.35">
      <c r="A831" t="s">
        <v>28</v>
      </c>
      <c r="B831">
        <v>1</v>
      </c>
      <c r="C831">
        <v>3</v>
      </c>
      <c r="D831">
        <v>5</v>
      </c>
      <c r="E831" t="s">
        <v>25</v>
      </c>
      <c r="F831">
        <v>50</v>
      </c>
      <c r="G831">
        <v>3</v>
      </c>
      <c r="H831">
        <v>16</v>
      </c>
      <c r="I831" t="s">
        <v>23</v>
      </c>
      <c r="J831" s="3">
        <v>334.25566700000002</v>
      </c>
      <c r="K831" s="3">
        <v>10216.15</v>
      </c>
      <c r="L831" s="3">
        <v>12905.233</v>
      </c>
      <c r="M831" s="3">
        <v>10216.15</v>
      </c>
      <c r="N831" s="3">
        <v>10216.15</v>
      </c>
      <c r="O831" s="4">
        <v>0</v>
      </c>
      <c r="P831" s="4">
        <v>26.321899999999999</v>
      </c>
      <c r="Q831" s="4">
        <v>0</v>
      </c>
      <c r="R831" s="5">
        <v>8.0000000000000004E-4</v>
      </c>
      <c r="S831">
        <v>7</v>
      </c>
      <c r="T831" t="b">
        <v>0</v>
      </c>
      <c r="U831">
        <v>3</v>
      </c>
      <c r="V831" s="4">
        <v>4.92</v>
      </c>
    </row>
    <row r="832" spans="1:22" hidden="1" x14ac:dyDescent="0.35">
      <c r="A832" t="s">
        <v>28</v>
      </c>
      <c r="B832">
        <v>1</v>
      </c>
      <c r="C832">
        <v>3</v>
      </c>
      <c r="D832">
        <v>5</v>
      </c>
      <c r="E832" t="s">
        <v>25</v>
      </c>
      <c r="F832">
        <v>200</v>
      </c>
      <c r="G832">
        <v>1</v>
      </c>
      <c r="H832">
        <v>16</v>
      </c>
      <c r="I832" t="s">
        <v>23</v>
      </c>
      <c r="J832" s="3">
        <v>348.348882</v>
      </c>
      <c r="K832" s="3" t="s">
        <v>24</v>
      </c>
      <c r="L832" s="3" t="s">
        <v>24</v>
      </c>
      <c r="M832" s="3" t="s">
        <v>24</v>
      </c>
      <c r="N832" s="3">
        <v>10216.15</v>
      </c>
      <c r="O832" s="4"/>
      <c r="P832" s="4"/>
      <c r="Q832" s="4"/>
      <c r="R832" s="5">
        <v>0</v>
      </c>
      <c r="S832">
        <v>0</v>
      </c>
      <c r="T832" t="b">
        <v>1</v>
      </c>
      <c r="U832">
        <v>-1</v>
      </c>
      <c r="V832" s="4">
        <v>1.91</v>
      </c>
    </row>
    <row r="833" spans="1:22" hidden="1" x14ac:dyDescent="0.35">
      <c r="A833" t="s">
        <v>28</v>
      </c>
      <c r="B833">
        <v>1</v>
      </c>
      <c r="C833">
        <v>3</v>
      </c>
      <c r="D833">
        <v>5</v>
      </c>
      <c r="E833" t="s">
        <v>25</v>
      </c>
      <c r="F833">
        <v>200</v>
      </c>
      <c r="G833">
        <v>3</v>
      </c>
      <c r="H833">
        <v>16</v>
      </c>
      <c r="I833" t="s">
        <v>23</v>
      </c>
      <c r="J833" s="3">
        <v>334.25566700000002</v>
      </c>
      <c r="K833" s="3">
        <v>10216.15</v>
      </c>
      <c r="L833" s="3">
        <v>12905.233</v>
      </c>
      <c r="M833" s="3">
        <v>10216.15</v>
      </c>
      <c r="N833" s="3">
        <v>10216.15</v>
      </c>
      <c r="O833" s="4">
        <v>0</v>
      </c>
      <c r="P833" s="4">
        <v>26.321899999999999</v>
      </c>
      <c r="Q833" s="4">
        <v>0</v>
      </c>
      <c r="R833" s="5">
        <v>8.0000000000000004E-4</v>
      </c>
      <c r="S833">
        <v>7</v>
      </c>
      <c r="T833" t="b">
        <v>0</v>
      </c>
      <c r="U833">
        <v>3</v>
      </c>
      <c r="V833" s="4">
        <v>4.95</v>
      </c>
    </row>
    <row r="834" spans="1:22" hidden="1" x14ac:dyDescent="0.35">
      <c r="A834" t="s">
        <v>28</v>
      </c>
      <c r="B834">
        <v>1</v>
      </c>
      <c r="C834">
        <v>3</v>
      </c>
      <c r="D834">
        <v>10</v>
      </c>
      <c r="E834" t="s">
        <v>22</v>
      </c>
      <c r="F834">
        <v>50</v>
      </c>
      <c r="G834">
        <v>1</v>
      </c>
      <c r="H834">
        <v>16</v>
      </c>
      <c r="I834" t="s">
        <v>23</v>
      </c>
      <c r="J834" s="3">
        <v>287.67167899999998</v>
      </c>
      <c r="K834" s="3">
        <v>10216.15</v>
      </c>
      <c r="L834" s="3">
        <v>12755.084000000001</v>
      </c>
      <c r="M834" s="3">
        <v>10216.15</v>
      </c>
      <c r="N834" s="3">
        <v>10216.15</v>
      </c>
      <c r="O834" s="4">
        <v>0</v>
      </c>
      <c r="P834" s="4">
        <v>24.8522</v>
      </c>
      <c r="Q834" s="4">
        <v>0</v>
      </c>
      <c r="R834" s="5">
        <v>7.6E-3</v>
      </c>
      <c r="S834">
        <v>23</v>
      </c>
      <c r="T834" t="b">
        <v>0</v>
      </c>
      <c r="U834">
        <v>8</v>
      </c>
      <c r="V834" s="4">
        <v>9.1300000000000008</v>
      </c>
    </row>
    <row r="835" spans="1:22" hidden="1" x14ac:dyDescent="0.35">
      <c r="A835" t="s">
        <v>28</v>
      </c>
      <c r="B835">
        <v>1</v>
      </c>
      <c r="C835">
        <v>3</v>
      </c>
      <c r="D835">
        <v>10</v>
      </c>
      <c r="E835" t="s">
        <v>22</v>
      </c>
      <c r="F835">
        <v>50</v>
      </c>
      <c r="G835">
        <v>3</v>
      </c>
      <c r="H835">
        <v>16</v>
      </c>
      <c r="I835" t="s">
        <v>23</v>
      </c>
      <c r="J835" s="3">
        <v>277.25146000000001</v>
      </c>
      <c r="K835" s="3">
        <v>10216.15</v>
      </c>
      <c r="L835" s="3">
        <v>10216.15</v>
      </c>
      <c r="M835" s="3">
        <v>10216.15</v>
      </c>
      <c r="N835" s="3">
        <v>10216.15</v>
      </c>
      <c r="O835" s="4">
        <v>0</v>
      </c>
      <c r="P835" s="4">
        <v>0</v>
      </c>
      <c r="Q835" s="4">
        <v>0</v>
      </c>
      <c r="R835" s="5">
        <v>5.1000000000000004E-3</v>
      </c>
      <c r="S835">
        <v>22</v>
      </c>
      <c r="T835" t="b">
        <v>0</v>
      </c>
      <c r="U835">
        <v>1</v>
      </c>
      <c r="V835" s="4">
        <v>27.34</v>
      </c>
    </row>
    <row r="836" spans="1:22" hidden="1" x14ac:dyDescent="0.35">
      <c r="A836" t="s">
        <v>28</v>
      </c>
      <c r="B836">
        <v>1</v>
      </c>
      <c r="C836">
        <v>3</v>
      </c>
      <c r="D836">
        <v>10</v>
      </c>
      <c r="E836" t="s">
        <v>22</v>
      </c>
      <c r="F836">
        <v>200</v>
      </c>
      <c r="G836">
        <v>1</v>
      </c>
      <c r="H836">
        <v>16</v>
      </c>
      <c r="I836" t="s">
        <v>23</v>
      </c>
      <c r="J836" s="3">
        <v>287.67167899999998</v>
      </c>
      <c r="K836" s="3">
        <v>10216.15</v>
      </c>
      <c r="L836" s="3">
        <v>12755.084000000001</v>
      </c>
      <c r="M836" s="3">
        <v>10216.15</v>
      </c>
      <c r="N836" s="3">
        <v>10216.15</v>
      </c>
      <c r="O836" s="4">
        <v>0</v>
      </c>
      <c r="P836" s="4">
        <v>24.8522</v>
      </c>
      <c r="Q836" s="4">
        <v>0</v>
      </c>
      <c r="R836" s="5">
        <v>7.6E-3</v>
      </c>
      <c r="S836">
        <v>23</v>
      </c>
      <c r="T836" t="b">
        <v>0</v>
      </c>
      <c r="U836">
        <v>8</v>
      </c>
      <c r="V836" s="4">
        <v>10.62</v>
      </c>
    </row>
    <row r="837" spans="1:22" hidden="1" x14ac:dyDescent="0.35">
      <c r="A837" t="s">
        <v>28</v>
      </c>
      <c r="B837">
        <v>1</v>
      </c>
      <c r="C837">
        <v>3</v>
      </c>
      <c r="D837">
        <v>10</v>
      </c>
      <c r="E837" t="s">
        <v>22</v>
      </c>
      <c r="F837">
        <v>200</v>
      </c>
      <c r="G837">
        <v>3</v>
      </c>
      <c r="H837">
        <v>16</v>
      </c>
      <c r="I837" t="s">
        <v>23</v>
      </c>
      <c r="J837" s="3">
        <v>277.25146000000001</v>
      </c>
      <c r="K837" s="3">
        <v>10216.15</v>
      </c>
      <c r="L837" s="3">
        <v>10216.15</v>
      </c>
      <c r="M837" s="3">
        <v>10216.15</v>
      </c>
      <c r="N837" s="3">
        <v>10216.15</v>
      </c>
      <c r="O837" s="4">
        <v>0</v>
      </c>
      <c r="P837" s="4">
        <v>0</v>
      </c>
      <c r="Q837" s="4">
        <v>0</v>
      </c>
      <c r="R837" s="5">
        <v>5.1000000000000004E-3</v>
      </c>
      <c r="S837">
        <v>22</v>
      </c>
      <c r="T837" t="b">
        <v>0</v>
      </c>
      <c r="U837">
        <v>1</v>
      </c>
      <c r="V837" s="4">
        <v>28.57</v>
      </c>
    </row>
    <row r="838" spans="1:22" hidden="1" x14ac:dyDescent="0.35">
      <c r="A838" t="s">
        <v>28</v>
      </c>
      <c r="B838">
        <v>1</v>
      </c>
      <c r="C838">
        <v>3</v>
      </c>
      <c r="D838">
        <v>10</v>
      </c>
      <c r="E838" t="s">
        <v>25</v>
      </c>
      <c r="F838">
        <v>50</v>
      </c>
      <c r="G838">
        <v>1</v>
      </c>
      <c r="H838">
        <v>16</v>
      </c>
      <c r="I838" t="s">
        <v>23</v>
      </c>
      <c r="J838" s="3">
        <v>679.86651500000005</v>
      </c>
      <c r="K838" s="3">
        <v>12755.084000000001</v>
      </c>
      <c r="L838" s="3">
        <v>12755.084000000001</v>
      </c>
      <c r="M838" s="3">
        <v>12755.084000000001</v>
      </c>
      <c r="N838" s="3">
        <v>10216.15</v>
      </c>
      <c r="O838" s="4">
        <v>24.8522</v>
      </c>
      <c r="P838" s="4">
        <v>24.8522</v>
      </c>
      <c r="Q838" s="4">
        <v>24.8522</v>
      </c>
      <c r="R838" s="5">
        <v>2.0000000000000001E-4</v>
      </c>
      <c r="S838">
        <v>2</v>
      </c>
      <c r="T838" t="b">
        <v>0</v>
      </c>
      <c r="U838">
        <v>1</v>
      </c>
      <c r="V838" s="4">
        <v>1.96</v>
      </c>
    </row>
    <row r="839" spans="1:22" hidden="1" x14ac:dyDescent="0.35">
      <c r="A839" t="s">
        <v>28</v>
      </c>
      <c r="B839">
        <v>1</v>
      </c>
      <c r="C839">
        <v>3</v>
      </c>
      <c r="D839">
        <v>10</v>
      </c>
      <c r="E839" t="s">
        <v>25</v>
      </c>
      <c r="F839">
        <v>50</v>
      </c>
      <c r="G839">
        <v>3</v>
      </c>
      <c r="H839">
        <v>16</v>
      </c>
      <c r="I839" t="s">
        <v>23</v>
      </c>
      <c r="J839" s="3">
        <v>658.57173799999998</v>
      </c>
      <c r="K839" s="3">
        <v>10216.15</v>
      </c>
      <c r="L839" s="3">
        <v>12755.084000000001</v>
      </c>
      <c r="M839" s="3">
        <v>10216.15</v>
      </c>
      <c r="N839" s="3">
        <v>10216.15</v>
      </c>
      <c r="O839" s="4">
        <v>0</v>
      </c>
      <c r="P839" s="4">
        <v>24.8522</v>
      </c>
      <c r="Q839" s="4">
        <v>0</v>
      </c>
      <c r="R839" s="5">
        <v>8.0000000000000004E-4</v>
      </c>
      <c r="S839">
        <v>8</v>
      </c>
      <c r="T839" t="b">
        <v>0</v>
      </c>
      <c r="U839">
        <v>8</v>
      </c>
      <c r="V839" s="4">
        <v>5.07</v>
      </c>
    </row>
    <row r="840" spans="1:22" hidden="1" x14ac:dyDescent="0.35">
      <c r="A840" t="s">
        <v>28</v>
      </c>
      <c r="B840">
        <v>1</v>
      </c>
      <c r="C840">
        <v>3</v>
      </c>
      <c r="D840">
        <v>10</v>
      </c>
      <c r="E840" t="s">
        <v>25</v>
      </c>
      <c r="F840">
        <v>200</v>
      </c>
      <c r="G840">
        <v>1</v>
      </c>
      <c r="H840">
        <v>16</v>
      </c>
      <c r="I840" t="s">
        <v>23</v>
      </c>
      <c r="J840" s="3">
        <v>679.86651500000005</v>
      </c>
      <c r="K840" s="3">
        <v>12755.084000000001</v>
      </c>
      <c r="L840" s="3">
        <v>12755.084000000001</v>
      </c>
      <c r="M840" s="3">
        <v>12755.084000000001</v>
      </c>
      <c r="N840" s="3">
        <v>10216.15</v>
      </c>
      <c r="O840" s="4">
        <v>24.8522</v>
      </c>
      <c r="P840" s="4">
        <v>24.8522</v>
      </c>
      <c r="Q840" s="4">
        <v>24.8522</v>
      </c>
      <c r="R840" s="5">
        <v>2.0000000000000001E-4</v>
      </c>
      <c r="S840">
        <v>2</v>
      </c>
      <c r="T840" t="b">
        <v>0</v>
      </c>
      <c r="U840">
        <v>1</v>
      </c>
      <c r="V840" s="4">
        <v>1.93</v>
      </c>
    </row>
    <row r="841" spans="1:22" hidden="1" x14ac:dyDescent="0.35">
      <c r="A841" t="s">
        <v>28</v>
      </c>
      <c r="B841">
        <v>1</v>
      </c>
      <c r="C841">
        <v>3</v>
      </c>
      <c r="D841">
        <v>10</v>
      </c>
      <c r="E841" t="s">
        <v>25</v>
      </c>
      <c r="F841">
        <v>200</v>
      </c>
      <c r="G841">
        <v>3</v>
      </c>
      <c r="H841">
        <v>16</v>
      </c>
      <c r="I841" t="s">
        <v>23</v>
      </c>
      <c r="J841" s="3">
        <v>658.57173799999998</v>
      </c>
      <c r="K841" s="3">
        <v>10216.15</v>
      </c>
      <c r="L841" s="3">
        <v>12755.084000000001</v>
      </c>
      <c r="M841" s="3">
        <v>10216.15</v>
      </c>
      <c r="N841" s="3">
        <v>10216.15</v>
      </c>
      <c r="O841" s="4">
        <v>0</v>
      </c>
      <c r="P841" s="4">
        <v>24.8522</v>
      </c>
      <c r="Q841" s="4">
        <v>0</v>
      </c>
      <c r="R841" s="5">
        <v>8.0000000000000004E-4</v>
      </c>
      <c r="S841">
        <v>8</v>
      </c>
      <c r="T841" t="b">
        <v>0</v>
      </c>
      <c r="U841">
        <v>8</v>
      </c>
      <c r="V841" s="4">
        <v>4.92</v>
      </c>
    </row>
    <row r="842" spans="1:22" hidden="1" x14ac:dyDescent="0.35">
      <c r="A842" t="s">
        <v>28</v>
      </c>
      <c r="B842">
        <v>1</v>
      </c>
      <c r="C842">
        <v>5</v>
      </c>
      <c r="D842">
        <v>2</v>
      </c>
      <c r="E842" t="s">
        <v>22</v>
      </c>
      <c r="F842">
        <v>50</v>
      </c>
      <c r="G842">
        <v>1</v>
      </c>
      <c r="H842">
        <v>16</v>
      </c>
      <c r="I842" t="s">
        <v>23</v>
      </c>
      <c r="J842" s="3">
        <v>123.114841</v>
      </c>
      <c r="K842" s="3">
        <v>10216.15</v>
      </c>
      <c r="L842" s="3">
        <v>12206.07</v>
      </c>
      <c r="M842" s="3">
        <v>10216.15</v>
      </c>
      <c r="N842" s="3">
        <v>10216.15</v>
      </c>
      <c r="O842" s="4">
        <v>0</v>
      </c>
      <c r="P842" s="4">
        <v>19.478200000000001</v>
      </c>
      <c r="Q842" s="4">
        <v>0</v>
      </c>
      <c r="R842" s="5">
        <v>4.0000000000000002E-4</v>
      </c>
      <c r="S842">
        <v>4</v>
      </c>
      <c r="T842" t="b">
        <v>0</v>
      </c>
      <c r="U842">
        <v>2</v>
      </c>
      <c r="V842" s="4">
        <v>11.59</v>
      </c>
    </row>
    <row r="843" spans="1:22" hidden="1" x14ac:dyDescent="0.35">
      <c r="A843" t="s">
        <v>28</v>
      </c>
      <c r="B843">
        <v>1</v>
      </c>
      <c r="C843">
        <v>5</v>
      </c>
      <c r="D843">
        <v>2</v>
      </c>
      <c r="E843" t="s">
        <v>22</v>
      </c>
      <c r="F843">
        <v>50</v>
      </c>
      <c r="G843">
        <v>3</v>
      </c>
      <c r="H843">
        <v>16</v>
      </c>
      <c r="I843" t="s">
        <v>23</v>
      </c>
      <c r="J843" s="3">
        <v>56.052973000000001</v>
      </c>
      <c r="K843" s="3">
        <v>11816.173000000001</v>
      </c>
      <c r="L843" s="3">
        <v>14895.153</v>
      </c>
      <c r="M843" s="3">
        <v>10216.15</v>
      </c>
      <c r="N843" s="3">
        <v>10216.15</v>
      </c>
      <c r="O843" s="4">
        <v>15.6617</v>
      </c>
      <c r="P843" s="4">
        <v>45.8001</v>
      </c>
      <c r="Q843" s="4">
        <v>0</v>
      </c>
      <c r="R843" s="5">
        <v>9.7299999999999998E-2</v>
      </c>
      <c r="S843">
        <v>24</v>
      </c>
      <c r="T843" t="b">
        <v>0</v>
      </c>
      <c r="U843">
        <v>16</v>
      </c>
      <c r="V843" s="4">
        <v>33.409999999999997</v>
      </c>
    </row>
    <row r="844" spans="1:22" hidden="1" x14ac:dyDescent="0.35">
      <c r="A844" t="s">
        <v>28</v>
      </c>
      <c r="B844">
        <v>1</v>
      </c>
      <c r="C844">
        <v>5</v>
      </c>
      <c r="D844">
        <v>2</v>
      </c>
      <c r="E844" t="s">
        <v>22</v>
      </c>
      <c r="F844">
        <v>200</v>
      </c>
      <c r="G844">
        <v>1</v>
      </c>
      <c r="H844">
        <v>16</v>
      </c>
      <c r="I844" t="s">
        <v>23</v>
      </c>
      <c r="J844" s="3">
        <v>123.07915800000001</v>
      </c>
      <c r="K844" s="3">
        <v>11886.797</v>
      </c>
      <c r="L844" s="3">
        <v>12206.07</v>
      </c>
      <c r="M844" s="3">
        <v>11886.797</v>
      </c>
      <c r="N844" s="3">
        <v>10216.15</v>
      </c>
      <c r="O844" s="4">
        <v>16.353000000000002</v>
      </c>
      <c r="P844" s="4">
        <v>19.478200000000001</v>
      </c>
      <c r="Q844" s="4">
        <v>16.353000000000002</v>
      </c>
      <c r="R844" s="5">
        <v>2.9999999999999997E-4</v>
      </c>
      <c r="S844">
        <v>3</v>
      </c>
      <c r="T844" t="b">
        <v>0</v>
      </c>
      <c r="U844">
        <v>3</v>
      </c>
      <c r="V844" s="4">
        <v>17.61</v>
      </c>
    </row>
    <row r="845" spans="1:22" hidden="1" x14ac:dyDescent="0.35">
      <c r="A845" t="s">
        <v>28</v>
      </c>
      <c r="B845">
        <v>1</v>
      </c>
      <c r="C845">
        <v>5</v>
      </c>
      <c r="D845">
        <v>2</v>
      </c>
      <c r="E845" t="s">
        <v>22</v>
      </c>
      <c r="F845">
        <v>200</v>
      </c>
      <c r="G845">
        <v>3</v>
      </c>
      <c r="H845">
        <v>16</v>
      </c>
      <c r="I845" t="s">
        <v>23</v>
      </c>
      <c r="J845" s="3">
        <v>48.367291000000002</v>
      </c>
      <c r="K845" s="3">
        <v>11816.173000000001</v>
      </c>
      <c r="L845" s="3">
        <v>14895.153</v>
      </c>
      <c r="M845" s="3">
        <v>10216.15</v>
      </c>
      <c r="N845" s="3">
        <v>10216.15</v>
      </c>
      <c r="O845" s="4">
        <v>15.6617</v>
      </c>
      <c r="P845" s="4">
        <v>45.8001</v>
      </c>
      <c r="Q845" s="4">
        <v>0</v>
      </c>
      <c r="R845" s="5">
        <v>6.6500000000000004E-2</v>
      </c>
      <c r="S845">
        <v>24</v>
      </c>
      <c r="T845" t="b">
        <v>0</v>
      </c>
      <c r="U845">
        <v>14</v>
      </c>
      <c r="V845" s="4">
        <v>60.86</v>
      </c>
    </row>
    <row r="846" spans="1:22" hidden="1" x14ac:dyDescent="0.35">
      <c r="A846" t="s">
        <v>28</v>
      </c>
      <c r="B846">
        <v>1</v>
      </c>
      <c r="C846">
        <v>5</v>
      </c>
      <c r="D846">
        <v>2</v>
      </c>
      <c r="E846" t="s">
        <v>25</v>
      </c>
      <c r="F846">
        <v>50</v>
      </c>
      <c r="G846">
        <v>1</v>
      </c>
      <c r="H846">
        <v>16</v>
      </c>
      <c r="I846" t="s">
        <v>23</v>
      </c>
      <c r="J846" s="3">
        <v>134.84880200000001</v>
      </c>
      <c r="K846" s="3">
        <v>10216.15</v>
      </c>
      <c r="L846" s="3">
        <v>11886.797</v>
      </c>
      <c r="M846" s="3">
        <v>10216.15</v>
      </c>
      <c r="N846" s="3">
        <v>10216.15</v>
      </c>
      <c r="O846" s="4">
        <v>0</v>
      </c>
      <c r="P846" s="4">
        <v>16.353000000000002</v>
      </c>
      <c r="Q846" s="4">
        <v>0</v>
      </c>
      <c r="R846" s="5">
        <v>1.4E-3</v>
      </c>
      <c r="S846">
        <v>9</v>
      </c>
      <c r="T846" t="b">
        <v>0</v>
      </c>
      <c r="U846">
        <v>3</v>
      </c>
      <c r="V846" s="4">
        <v>3.41</v>
      </c>
    </row>
    <row r="847" spans="1:22" hidden="1" x14ac:dyDescent="0.35">
      <c r="A847" t="s">
        <v>28</v>
      </c>
      <c r="B847">
        <v>1</v>
      </c>
      <c r="C847">
        <v>5</v>
      </c>
      <c r="D847">
        <v>2</v>
      </c>
      <c r="E847" t="s">
        <v>25</v>
      </c>
      <c r="F847">
        <v>50</v>
      </c>
      <c r="G847">
        <v>3</v>
      </c>
      <c r="H847">
        <v>16</v>
      </c>
      <c r="I847" t="s">
        <v>23</v>
      </c>
      <c r="J847" s="3">
        <v>134.84880200000001</v>
      </c>
      <c r="K847" s="3">
        <v>10216.15</v>
      </c>
      <c r="L847" s="3">
        <v>11886.797</v>
      </c>
      <c r="M847" s="3">
        <v>10216.15</v>
      </c>
      <c r="N847" s="3">
        <v>10216.15</v>
      </c>
      <c r="O847" s="4">
        <v>0</v>
      </c>
      <c r="P847" s="4">
        <v>16.353000000000002</v>
      </c>
      <c r="Q847" s="4">
        <v>0</v>
      </c>
      <c r="R847" s="5">
        <v>1.4E-3</v>
      </c>
      <c r="S847">
        <v>9</v>
      </c>
      <c r="T847" t="b">
        <v>0</v>
      </c>
      <c r="U847">
        <v>3</v>
      </c>
      <c r="V847" s="4">
        <v>8.36</v>
      </c>
    </row>
    <row r="848" spans="1:22" hidden="1" x14ac:dyDescent="0.35">
      <c r="A848" t="s">
        <v>28</v>
      </c>
      <c r="B848">
        <v>1</v>
      </c>
      <c r="C848">
        <v>5</v>
      </c>
      <c r="D848">
        <v>2</v>
      </c>
      <c r="E848" t="s">
        <v>25</v>
      </c>
      <c r="F848">
        <v>200</v>
      </c>
      <c r="G848">
        <v>1</v>
      </c>
      <c r="H848">
        <v>16</v>
      </c>
      <c r="I848" t="s">
        <v>23</v>
      </c>
      <c r="J848" s="3">
        <v>134.84880200000001</v>
      </c>
      <c r="K848" s="3">
        <v>10216.15</v>
      </c>
      <c r="L848" s="3">
        <v>11886.797</v>
      </c>
      <c r="M848" s="3">
        <v>10216.15</v>
      </c>
      <c r="N848" s="3">
        <v>10216.15</v>
      </c>
      <c r="O848" s="4">
        <v>0</v>
      </c>
      <c r="P848" s="4">
        <v>16.353000000000002</v>
      </c>
      <c r="Q848" s="4">
        <v>0</v>
      </c>
      <c r="R848" s="5">
        <v>1.4E-3</v>
      </c>
      <c r="S848">
        <v>9</v>
      </c>
      <c r="T848" t="b">
        <v>0</v>
      </c>
      <c r="U848">
        <v>3</v>
      </c>
      <c r="V848" s="4">
        <v>3.13</v>
      </c>
    </row>
    <row r="849" spans="1:22" hidden="1" x14ac:dyDescent="0.35">
      <c r="A849" t="s">
        <v>28</v>
      </c>
      <c r="B849">
        <v>1</v>
      </c>
      <c r="C849">
        <v>5</v>
      </c>
      <c r="D849">
        <v>2</v>
      </c>
      <c r="E849" t="s">
        <v>25</v>
      </c>
      <c r="F849">
        <v>200</v>
      </c>
      <c r="G849">
        <v>3</v>
      </c>
      <c r="H849">
        <v>16</v>
      </c>
      <c r="I849" t="s">
        <v>23</v>
      </c>
      <c r="J849" s="3">
        <v>134.84880200000001</v>
      </c>
      <c r="K849" s="3">
        <v>10216.15</v>
      </c>
      <c r="L849" s="3">
        <v>11886.797</v>
      </c>
      <c r="M849" s="3">
        <v>10216.15</v>
      </c>
      <c r="N849" s="3">
        <v>10216.15</v>
      </c>
      <c r="O849" s="4">
        <v>0</v>
      </c>
      <c r="P849" s="4">
        <v>16.353000000000002</v>
      </c>
      <c r="Q849" s="4">
        <v>0</v>
      </c>
      <c r="R849" s="5">
        <v>1.4E-3</v>
      </c>
      <c r="S849">
        <v>9</v>
      </c>
      <c r="T849" t="b">
        <v>0</v>
      </c>
      <c r="U849">
        <v>3</v>
      </c>
      <c r="V849" s="4">
        <v>8.5500000000000007</v>
      </c>
    </row>
    <row r="850" spans="1:22" hidden="1" x14ac:dyDescent="0.35">
      <c r="A850" t="s">
        <v>28</v>
      </c>
      <c r="B850">
        <v>1</v>
      </c>
      <c r="C850">
        <v>5</v>
      </c>
      <c r="D850">
        <v>5</v>
      </c>
      <c r="E850" t="s">
        <v>22</v>
      </c>
      <c r="F850">
        <v>50</v>
      </c>
      <c r="G850">
        <v>1</v>
      </c>
      <c r="H850">
        <v>16</v>
      </c>
      <c r="I850" t="s">
        <v>23</v>
      </c>
      <c r="J850" s="3">
        <v>321.91162100000003</v>
      </c>
      <c r="K850" s="3">
        <v>10216.15</v>
      </c>
      <c r="L850" s="3">
        <v>13224.505999999999</v>
      </c>
      <c r="M850" s="3">
        <v>10216.15</v>
      </c>
      <c r="N850" s="3">
        <v>10216.15</v>
      </c>
      <c r="O850" s="4">
        <v>0</v>
      </c>
      <c r="P850" s="4">
        <v>29.447099999999999</v>
      </c>
      <c r="Q850" s="4">
        <v>0</v>
      </c>
      <c r="R850" s="5">
        <v>6.1000000000000004E-3</v>
      </c>
      <c r="S850">
        <v>23</v>
      </c>
      <c r="T850" t="b">
        <v>0</v>
      </c>
      <c r="U850">
        <v>8</v>
      </c>
      <c r="V850" s="4">
        <v>11.97</v>
      </c>
    </row>
    <row r="851" spans="1:22" hidden="1" x14ac:dyDescent="0.35">
      <c r="A851" t="s">
        <v>28</v>
      </c>
      <c r="B851">
        <v>1</v>
      </c>
      <c r="C851">
        <v>5</v>
      </c>
      <c r="D851">
        <v>5</v>
      </c>
      <c r="E851" t="s">
        <v>22</v>
      </c>
      <c r="F851">
        <v>50</v>
      </c>
      <c r="G851">
        <v>3</v>
      </c>
      <c r="H851">
        <v>16</v>
      </c>
      <c r="I851" t="s">
        <v>23</v>
      </c>
      <c r="J851" s="3">
        <v>105.019291</v>
      </c>
      <c r="K851" s="3">
        <v>10216.15</v>
      </c>
      <c r="L851" s="3">
        <v>12173.496999999999</v>
      </c>
      <c r="M851" s="3">
        <v>10216.15</v>
      </c>
      <c r="N851" s="3">
        <v>10216.15</v>
      </c>
      <c r="O851" s="4">
        <v>0</v>
      </c>
      <c r="P851" s="4">
        <v>19.159300000000002</v>
      </c>
      <c r="Q851" s="4">
        <v>0</v>
      </c>
      <c r="R851" s="5">
        <v>8.9099999999999999E-2</v>
      </c>
      <c r="S851">
        <v>24</v>
      </c>
      <c r="T851" t="b">
        <v>0</v>
      </c>
      <c r="U851">
        <v>9</v>
      </c>
      <c r="V851" s="4">
        <v>33.47</v>
      </c>
    </row>
    <row r="852" spans="1:22" hidden="1" x14ac:dyDescent="0.35">
      <c r="A852" t="s">
        <v>28</v>
      </c>
      <c r="B852">
        <v>1</v>
      </c>
      <c r="C852">
        <v>5</v>
      </c>
      <c r="D852">
        <v>5</v>
      </c>
      <c r="E852" t="s">
        <v>22</v>
      </c>
      <c r="F852">
        <v>200</v>
      </c>
      <c r="G852">
        <v>1</v>
      </c>
      <c r="H852">
        <v>16</v>
      </c>
      <c r="I852" t="s">
        <v>23</v>
      </c>
      <c r="J852" s="3">
        <v>321.260333</v>
      </c>
      <c r="K852" s="3">
        <v>10216.15</v>
      </c>
      <c r="L852" s="3">
        <v>13224.505999999999</v>
      </c>
      <c r="M852" s="3">
        <v>10216.15</v>
      </c>
      <c r="N852" s="3">
        <v>10216.15</v>
      </c>
      <c r="O852" s="4">
        <v>0</v>
      </c>
      <c r="P852" s="4">
        <v>29.447099999999999</v>
      </c>
      <c r="Q852" s="4">
        <v>0</v>
      </c>
      <c r="R852" s="5">
        <v>6.0000000000000001E-3</v>
      </c>
      <c r="S852">
        <v>23</v>
      </c>
      <c r="T852" t="b">
        <v>0</v>
      </c>
      <c r="U852">
        <v>8</v>
      </c>
      <c r="V852" s="4">
        <v>16.93</v>
      </c>
    </row>
    <row r="853" spans="1:22" hidden="1" x14ac:dyDescent="0.35">
      <c r="A853" t="s">
        <v>28</v>
      </c>
      <c r="B853">
        <v>1</v>
      </c>
      <c r="C853">
        <v>5</v>
      </c>
      <c r="D853">
        <v>5</v>
      </c>
      <c r="E853" t="s">
        <v>22</v>
      </c>
      <c r="F853">
        <v>200</v>
      </c>
      <c r="G853">
        <v>3</v>
      </c>
      <c r="H853">
        <v>16</v>
      </c>
      <c r="I853" t="s">
        <v>23</v>
      </c>
      <c r="J853" s="3">
        <v>101.76665</v>
      </c>
      <c r="K853" s="3">
        <v>11886.797</v>
      </c>
      <c r="L853" s="3">
        <v>12755.084000000001</v>
      </c>
      <c r="M853" s="3">
        <v>10216.15</v>
      </c>
      <c r="N853" s="3">
        <v>10216.15</v>
      </c>
      <c r="O853" s="4">
        <v>16.353000000000002</v>
      </c>
      <c r="P853" s="4">
        <v>24.8522</v>
      </c>
      <c r="Q853" s="4">
        <v>0</v>
      </c>
      <c r="R853" s="5">
        <v>7.8700000000000006E-2</v>
      </c>
      <c r="S853">
        <v>24</v>
      </c>
      <c r="T853" t="b">
        <v>0</v>
      </c>
      <c r="U853">
        <v>11</v>
      </c>
      <c r="V853" s="4">
        <v>56.71</v>
      </c>
    </row>
    <row r="854" spans="1:22" hidden="1" x14ac:dyDescent="0.35">
      <c r="A854" t="s">
        <v>28</v>
      </c>
      <c r="B854">
        <v>1</v>
      </c>
      <c r="C854">
        <v>5</v>
      </c>
      <c r="D854">
        <v>5</v>
      </c>
      <c r="E854" t="s">
        <v>25</v>
      </c>
      <c r="F854">
        <v>50</v>
      </c>
      <c r="G854">
        <v>1</v>
      </c>
      <c r="H854">
        <v>16</v>
      </c>
      <c r="I854" t="s">
        <v>23</v>
      </c>
      <c r="J854" s="3">
        <v>329.64576199999999</v>
      </c>
      <c r="K854" s="3">
        <v>10216.15</v>
      </c>
      <c r="L854" s="3">
        <v>12755.084000000001</v>
      </c>
      <c r="M854" s="3">
        <v>10216.15</v>
      </c>
      <c r="N854" s="3">
        <v>10216.15</v>
      </c>
      <c r="O854" s="4">
        <v>0</v>
      </c>
      <c r="P854" s="4">
        <v>24.8522</v>
      </c>
      <c r="Q854" s="4">
        <v>0</v>
      </c>
      <c r="R854" s="5">
        <v>6.7999999999999996E-3</v>
      </c>
      <c r="S854">
        <v>24</v>
      </c>
      <c r="T854" t="b">
        <v>0</v>
      </c>
      <c r="U854">
        <v>21</v>
      </c>
      <c r="V854" s="4">
        <v>3.11</v>
      </c>
    </row>
    <row r="855" spans="1:22" hidden="1" x14ac:dyDescent="0.35">
      <c r="A855" t="s">
        <v>28</v>
      </c>
      <c r="B855">
        <v>1</v>
      </c>
      <c r="C855">
        <v>5</v>
      </c>
      <c r="D855">
        <v>5</v>
      </c>
      <c r="E855" t="s">
        <v>25</v>
      </c>
      <c r="F855">
        <v>50</v>
      </c>
      <c r="G855">
        <v>3</v>
      </c>
      <c r="H855">
        <v>16</v>
      </c>
      <c r="I855" t="s">
        <v>23</v>
      </c>
      <c r="J855" s="3">
        <v>329.64576199999999</v>
      </c>
      <c r="K855" s="3">
        <v>10216.15</v>
      </c>
      <c r="L855" s="3">
        <v>12755.084000000001</v>
      </c>
      <c r="M855" s="3">
        <v>10216.15</v>
      </c>
      <c r="N855" s="3">
        <v>10216.15</v>
      </c>
      <c r="O855" s="4">
        <v>0</v>
      </c>
      <c r="P855" s="4">
        <v>24.8522</v>
      </c>
      <c r="Q855" s="4">
        <v>0</v>
      </c>
      <c r="R855" s="5">
        <v>6.7999999999999996E-3</v>
      </c>
      <c r="S855">
        <v>24</v>
      </c>
      <c r="T855" t="b">
        <v>0</v>
      </c>
      <c r="U855">
        <v>21</v>
      </c>
      <c r="V855" s="4">
        <v>8.49</v>
      </c>
    </row>
    <row r="856" spans="1:22" hidden="1" x14ac:dyDescent="0.35">
      <c r="A856" t="s">
        <v>28</v>
      </c>
      <c r="B856">
        <v>1</v>
      </c>
      <c r="C856">
        <v>5</v>
      </c>
      <c r="D856">
        <v>5</v>
      </c>
      <c r="E856" t="s">
        <v>25</v>
      </c>
      <c r="F856">
        <v>200</v>
      </c>
      <c r="G856">
        <v>1</v>
      </c>
      <c r="H856">
        <v>16</v>
      </c>
      <c r="I856" t="s">
        <v>23</v>
      </c>
      <c r="J856" s="3">
        <v>329.64576199999999</v>
      </c>
      <c r="K856" s="3">
        <v>10216.15</v>
      </c>
      <c r="L856" s="3">
        <v>12755.084000000001</v>
      </c>
      <c r="M856" s="3">
        <v>10216.15</v>
      </c>
      <c r="N856" s="3">
        <v>10216.15</v>
      </c>
      <c r="O856" s="4">
        <v>0</v>
      </c>
      <c r="P856" s="4">
        <v>24.8522</v>
      </c>
      <c r="Q856" s="4">
        <v>0</v>
      </c>
      <c r="R856" s="5">
        <v>6.7999999999999996E-3</v>
      </c>
      <c r="S856">
        <v>24</v>
      </c>
      <c r="T856" t="b">
        <v>0</v>
      </c>
      <c r="U856">
        <v>21</v>
      </c>
      <c r="V856" s="4">
        <v>3.24</v>
      </c>
    </row>
    <row r="857" spans="1:22" hidden="1" x14ac:dyDescent="0.35">
      <c r="A857" t="s">
        <v>28</v>
      </c>
      <c r="B857">
        <v>1</v>
      </c>
      <c r="C857">
        <v>5</v>
      </c>
      <c r="D857">
        <v>5</v>
      </c>
      <c r="E857" t="s">
        <v>25</v>
      </c>
      <c r="F857">
        <v>200</v>
      </c>
      <c r="G857">
        <v>3</v>
      </c>
      <c r="H857">
        <v>16</v>
      </c>
      <c r="I857" t="s">
        <v>23</v>
      </c>
      <c r="J857" s="3">
        <v>329.64576199999999</v>
      </c>
      <c r="K857" s="3">
        <v>10216.15</v>
      </c>
      <c r="L857" s="3">
        <v>12755.084000000001</v>
      </c>
      <c r="M857" s="3">
        <v>10216.15</v>
      </c>
      <c r="N857" s="3">
        <v>10216.15</v>
      </c>
      <c r="O857" s="4">
        <v>0</v>
      </c>
      <c r="P857" s="4">
        <v>24.8522</v>
      </c>
      <c r="Q857" s="4">
        <v>0</v>
      </c>
      <c r="R857" s="5">
        <v>6.7999999999999996E-3</v>
      </c>
      <c r="S857">
        <v>24</v>
      </c>
      <c r="T857" t="b">
        <v>0</v>
      </c>
      <c r="U857">
        <v>21</v>
      </c>
      <c r="V857" s="4">
        <v>8.56</v>
      </c>
    </row>
    <row r="858" spans="1:22" hidden="1" x14ac:dyDescent="0.35">
      <c r="A858" t="s">
        <v>28</v>
      </c>
      <c r="B858">
        <v>1</v>
      </c>
      <c r="C858">
        <v>5</v>
      </c>
      <c r="D858">
        <v>10</v>
      </c>
      <c r="E858" t="s">
        <v>22</v>
      </c>
      <c r="F858">
        <v>50</v>
      </c>
      <c r="G858">
        <v>1</v>
      </c>
      <c r="H858">
        <v>16</v>
      </c>
      <c r="I858" t="s">
        <v>23</v>
      </c>
      <c r="J858" s="3">
        <v>140.86601200000001</v>
      </c>
      <c r="K858" s="3">
        <v>11816.173000000001</v>
      </c>
      <c r="L858" s="3">
        <v>12173.496999999999</v>
      </c>
      <c r="M858" s="3">
        <v>10216.15</v>
      </c>
      <c r="N858" s="3">
        <v>10216.15</v>
      </c>
      <c r="O858" s="4">
        <v>15.6617</v>
      </c>
      <c r="P858" s="4">
        <v>19.159300000000002</v>
      </c>
      <c r="Q858" s="4">
        <v>0</v>
      </c>
      <c r="R858" s="5">
        <v>3.4099999999999998E-2</v>
      </c>
      <c r="S858">
        <v>24</v>
      </c>
      <c r="T858" t="b">
        <v>0</v>
      </c>
      <c r="U858">
        <v>16</v>
      </c>
      <c r="V858" s="4">
        <v>10.66</v>
      </c>
    </row>
    <row r="859" spans="1:22" hidden="1" x14ac:dyDescent="0.35">
      <c r="A859" t="s">
        <v>28</v>
      </c>
      <c r="B859">
        <v>1</v>
      </c>
      <c r="C859">
        <v>5</v>
      </c>
      <c r="D859">
        <v>10</v>
      </c>
      <c r="E859" t="s">
        <v>22</v>
      </c>
      <c r="F859">
        <v>50</v>
      </c>
      <c r="G859">
        <v>3</v>
      </c>
      <c r="H859">
        <v>16</v>
      </c>
      <c r="I859" t="s">
        <v>23</v>
      </c>
      <c r="J859" s="3">
        <v>140.86601200000001</v>
      </c>
      <c r="K859" s="3">
        <v>11816.173000000001</v>
      </c>
      <c r="L859" s="3">
        <v>12173.496999999999</v>
      </c>
      <c r="M859" s="3">
        <v>10216.15</v>
      </c>
      <c r="N859" s="3">
        <v>10216.15</v>
      </c>
      <c r="O859" s="4">
        <v>15.6617</v>
      </c>
      <c r="P859" s="4">
        <v>19.159300000000002</v>
      </c>
      <c r="Q859" s="4">
        <v>0</v>
      </c>
      <c r="R859" s="5">
        <v>3.4099999999999998E-2</v>
      </c>
      <c r="S859">
        <v>24</v>
      </c>
      <c r="T859" t="b">
        <v>0</v>
      </c>
      <c r="U859">
        <v>16</v>
      </c>
      <c r="V859" s="4">
        <v>32.590000000000003</v>
      </c>
    </row>
    <row r="860" spans="1:22" hidden="1" x14ac:dyDescent="0.35">
      <c r="A860" t="s">
        <v>28</v>
      </c>
      <c r="B860">
        <v>1</v>
      </c>
      <c r="C860">
        <v>5</v>
      </c>
      <c r="D860">
        <v>10</v>
      </c>
      <c r="E860" t="s">
        <v>22</v>
      </c>
      <c r="F860">
        <v>200</v>
      </c>
      <c r="G860">
        <v>1</v>
      </c>
      <c r="H860">
        <v>16</v>
      </c>
      <c r="I860" t="s">
        <v>23</v>
      </c>
      <c r="J860" s="3">
        <v>139.890849</v>
      </c>
      <c r="K860" s="3">
        <v>10216.15</v>
      </c>
      <c r="L860" s="3">
        <v>11816.173000000001</v>
      </c>
      <c r="M860" s="3">
        <v>10216.15</v>
      </c>
      <c r="N860" s="3">
        <v>10216.15</v>
      </c>
      <c r="O860" s="4">
        <v>0</v>
      </c>
      <c r="P860" s="4">
        <v>15.6617</v>
      </c>
      <c r="Q860" s="4">
        <v>0</v>
      </c>
      <c r="R860" s="5">
        <v>3.0499999999999999E-2</v>
      </c>
      <c r="S860">
        <v>24</v>
      </c>
      <c r="T860" t="b">
        <v>0</v>
      </c>
      <c r="U860">
        <v>2</v>
      </c>
      <c r="V860" s="4">
        <v>18</v>
      </c>
    </row>
    <row r="861" spans="1:22" hidden="1" x14ac:dyDescent="0.35">
      <c r="A861" t="s">
        <v>28</v>
      </c>
      <c r="B861">
        <v>1</v>
      </c>
      <c r="C861">
        <v>5</v>
      </c>
      <c r="D861">
        <v>10</v>
      </c>
      <c r="E861" t="s">
        <v>22</v>
      </c>
      <c r="F861">
        <v>200</v>
      </c>
      <c r="G861">
        <v>3</v>
      </c>
      <c r="H861">
        <v>16</v>
      </c>
      <c r="I861" t="s">
        <v>23</v>
      </c>
      <c r="J861" s="3">
        <v>136.6103</v>
      </c>
      <c r="K861" s="3">
        <v>10216.15</v>
      </c>
      <c r="L861" s="3">
        <v>12206.07</v>
      </c>
      <c r="M861" s="3">
        <v>10216.15</v>
      </c>
      <c r="N861" s="3">
        <v>10216.15</v>
      </c>
      <c r="O861" s="4">
        <v>0</v>
      </c>
      <c r="P861" s="4">
        <v>19.478200000000001</v>
      </c>
      <c r="Q861" s="4">
        <v>0</v>
      </c>
      <c r="R861" s="5">
        <v>8.09E-2</v>
      </c>
      <c r="S861">
        <v>24</v>
      </c>
      <c r="T861" t="b">
        <v>0</v>
      </c>
      <c r="U861">
        <v>9</v>
      </c>
      <c r="V861" s="4">
        <v>55.04</v>
      </c>
    </row>
    <row r="862" spans="1:22" hidden="1" x14ac:dyDescent="0.35">
      <c r="A862" t="s">
        <v>28</v>
      </c>
      <c r="B862">
        <v>1</v>
      </c>
      <c r="C862">
        <v>5</v>
      </c>
      <c r="D862">
        <v>10</v>
      </c>
      <c r="E862" t="s">
        <v>25</v>
      </c>
      <c r="F862">
        <v>50</v>
      </c>
      <c r="G862">
        <v>1</v>
      </c>
      <c r="H862">
        <v>16</v>
      </c>
      <c r="I862" t="s">
        <v>23</v>
      </c>
      <c r="J862" s="3">
        <v>663.30214799999999</v>
      </c>
      <c r="K862" s="3">
        <v>10216.15</v>
      </c>
      <c r="L862" s="3">
        <v>12173.496999999999</v>
      </c>
      <c r="M862" s="3">
        <v>10216.15</v>
      </c>
      <c r="N862" s="3">
        <v>10216.15</v>
      </c>
      <c r="O862" s="4">
        <v>0</v>
      </c>
      <c r="P862" s="4">
        <v>19.159300000000002</v>
      </c>
      <c r="Q862" s="4">
        <v>0</v>
      </c>
      <c r="R862" s="5">
        <v>8.6999999999999994E-3</v>
      </c>
      <c r="S862">
        <v>23</v>
      </c>
      <c r="T862" t="b">
        <v>0</v>
      </c>
      <c r="U862">
        <v>9</v>
      </c>
      <c r="V862" s="4">
        <v>3.16</v>
      </c>
    </row>
    <row r="863" spans="1:22" hidden="1" x14ac:dyDescent="0.35">
      <c r="A863" t="s">
        <v>28</v>
      </c>
      <c r="B863">
        <v>1</v>
      </c>
      <c r="C863">
        <v>5</v>
      </c>
      <c r="D863">
        <v>10</v>
      </c>
      <c r="E863" t="s">
        <v>25</v>
      </c>
      <c r="F863">
        <v>50</v>
      </c>
      <c r="G863">
        <v>3</v>
      </c>
      <c r="H863">
        <v>16</v>
      </c>
      <c r="I863" t="s">
        <v>23</v>
      </c>
      <c r="J863" s="3">
        <v>663.30214799999999</v>
      </c>
      <c r="K863" s="3">
        <v>10216.15</v>
      </c>
      <c r="L863" s="3">
        <v>12173.496999999999</v>
      </c>
      <c r="M863" s="3">
        <v>10216.15</v>
      </c>
      <c r="N863" s="3">
        <v>10216.15</v>
      </c>
      <c r="O863" s="4">
        <v>0</v>
      </c>
      <c r="P863" s="4">
        <v>19.159300000000002</v>
      </c>
      <c r="Q863" s="4">
        <v>0</v>
      </c>
      <c r="R863" s="5">
        <v>8.6999999999999994E-3</v>
      </c>
      <c r="S863">
        <v>23</v>
      </c>
      <c r="T863" t="b">
        <v>0</v>
      </c>
      <c r="U863">
        <v>9</v>
      </c>
      <c r="V863" s="4">
        <v>8.52</v>
      </c>
    </row>
    <row r="864" spans="1:22" hidden="1" x14ac:dyDescent="0.35">
      <c r="A864" t="s">
        <v>28</v>
      </c>
      <c r="B864">
        <v>1</v>
      </c>
      <c r="C864">
        <v>5</v>
      </c>
      <c r="D864">
        <v>10</v>
      </c>
      <c r="E864" t="s">
        <v>25</v>
      </c>
      <c r="F864">
        <v>200</v>
      </c>
      <c r="G864">
        <v>1</v>
      </c>
      <c r="H864">
        <v>16</v>
      </c>
      <c r="I864" t="s">
        <v>23</v>
      </c>
      <c r="J864" s="3">
        <v>663.30214799999999</v>
      </c>
      <c r="K864" s="3">
        <v>10216.15</v>
      </c>
      <c r="L864" s="3">
        <v>12173.496999999999</v>
      </c>
      <c r="M864" s="3">
        <v>10216.15</v>
      </c>
      <c r="N864" s="3">
        <v>10216.15</v>
      </c>
      <c r="O864" s="4">
        <v>0</v>
      </c>
      <c r="P864" s="4">
        <v>19.159300000000002</v>
      </c>
      <c r="Q864" s="4">
        <v>0</v>
      </c>
      <c r="R864" s="5">
        <v>8.6999999999999994E-3</v>
      </c>
      <c r="S864">
        <v>23</v>
      </c>
      <c r="T864" t="b">
        <v>0</v>
      </c>
      <c r="U864">
        <v>9</v>
      </c>
      <c r="V864" s="4">
        <v>3.1</v>
      </c>
    </row>
    <row r="865" spans="1:22" hidden="1" x14ac:dyDescent="0.35">
      <c r="A865" t="s">
        <v>28</v>
      </c>
      <c r="B865">
        <v>1</v>
      </c>
      <c r="C865">
        <v>5</v>
      </c>
      <c r="D865">
        <v>10</v>
      </c>
      <c r="E865" t="s">
        <v>25</v>
      </c>
      <c r="F865">
        <v>200</v>
      </c>
      <c r="G865">
        <v>3</v>
      </c>
      <c r="H865">
        <v>16</v>
      </c>
      <c r="I865" t="s">
        <v>23</v>
      </c>
      <c r="J865" s="3">
        <v>663.30214799999999</v>
      </c>
      <c r="K865" s="3">
        <v>10216.15</v>
      </c>
      <c r="L865" s="3">
        <v>12173.496999999999</v>
      </c>
      <c r="M865" s="3">
        <v>10216.15</v>
      </c>
      <c r="N865" s="3">
        <v>10216.15</v>
      </c>
      <c r="O865" s="4">
        <v>0</v>
      </c>
      <c r="P865" s="4">
        <v>19.159300000000002</v>
      </c>
      <c r="Q865" s="4">
        <v>0</v>
      </c>
      <c r="R865" s="5">
        <v>8.6999999999999994E-3</v>
      </c>
      <c r="S865">
        <v>23</v>
      </c>
      <c r="T865" t="b">
        <v>0</v>
      </c>
      <c r="U865">
        <v>9</v>
      </c>
      <c r="V865" s="4">
        <v>8.5</v>
      </c>
    </row>
    <row r="866" spans="1:22" hidden="1" x14ac:dyDescent="0.35">
      <c r="A866" t="s">
        <v>28</v>
      </c>
      <c r="B866">
        <v>2</v>
      </c>
      <c r="C866">
        <v>1</v>
      </c>
      <c r="D866">
        <v>2</v>
      </c>
      <c r="E866" t="s">
        <v>22</v>
      </c>
      <c r="F866">
        <v>50</v>
      </c>
      <c r="G866">
        <v>1</v>
      </c>
      <c r="H866">
        <v>20</v>
      </c>
      <c r="I866" t="s">
        <v>26</v>
      </c>
      <c r="J866" s="3">
        <v>47.174660000000003</v>
      </c>
      <c r="K866" s="3">
        <v>13932.264999999999</v>
      </c>
      <c r="L866" s="3">
        <v>15602.912</v>
      </c>
      <c r="M866" s="3">
        <v>13612.992</v>
      </c>
      <c r="N866" s="3">
        <v>13612.992</v>
      </c>
      <c r="O866" s="4">
        <v>2.3454000000000002</v>
      </c>
      <c r="P866" s="4">
        <v>14.617800000000001</v>
      </c>
      <c r="Q866" s="4">
        <v>0</v>
      </c>
      <c r="R866" s="5">
        <v>7.1999999999999998E-3</v>
      </c>
      <c r="S866">
        <v>33</v>
      </c>
      <c r="T866" t="b">
        <v>0</v>
      </c>
      <c r="U866">
        <v>24</v>
      </c>
      <c r="V866" s="4">
        <v>6.82</v>
      </c>
    </row>
    <row r="867" spans="1:22" hidden="1" x14ac:dyDescent="0.35">
      <c r="A867" t="s">
        <v>28</v>
      </c>
      <c r="B867">
        <v>2</v>
      </c>
      <c r="C867">
        <v>1</v>
      </c>
      <c r="D867">
        <v>2</v>
      </c>
      <c r="E867" t="s">
        <v>22</v>
      </c>
      <c r="F867">
        <v>50</v>
      </c>
      <c r="G867">
        <v>3</v>
      </c>
      <c r="H867">
        <v>20</v>
      </c>
      <c r="I867" t="s">
        <v>26</v>
      </c>
      <c r="J867" s="3">
        <v>47.174660000000003</v>
      </c>
      <c r="K867" s="3">
        <v>13932.264999999999</v>
      </c>
      <c r="L867" s="3">
        <v>15602.912</v>
      </c>
      <c r="M867" s="3">
        <v>13612.992</v>
      </c>
      <c r="N867" s="3">
        <v>13612.992</v>
      </c>
      <c r="O867" s="4">
        <v>2.3454000000000002</v>
      </c>
      <c r="P867" s="4">
        <v>14.617800000000001</v>
      </c>
      <c r="Q867" s="4">
        <v>0</v>
      </c>
      <c r="R867" s="5">
        <v>7.1999999999999998E-3</v>
      </c>
      <c r="S867">
        <v>33</v>
      </c>
      <c r="T867" t="b">
        <v>0</v>
      </c>
      <c r="U867">
        <v>24</v>
      </c>
      <c r="V867" s="4">
        <v>17.46</v>
      </c>
    </row>
    <row r="868" spans="1:22" hidden="1" x14ac:dyDescent="0.35">
      <c r="A868" t="s">
        <v>28</v>
      </c>
      <c r="B868">
        <v>2</v>
      </c>
      <c r="C868">
        <v>1</v>
      </c>
      <c r="D868">
        <v>2</v>
      </c>
      <c r="E868" t="s">
        <v>22</v>
      </c>
      <c r="F868">
        <v>200</v>
      </c>
      <c r="G868">
        <v>1</v>
      </c>
      <c r="H868">
        <v>20</v>
      </c>
      <c r="I868" t="s">
        <v>26</v>
      </c>
      <c r="J868" s="3">
        <v>47.174660000000003</v>
      </c>
      <c r="K868" s="3">
        <v>13932.264999999999</v>
      </c>
      <c r="L868" s="3">
        <v>15602.912</v>
      </c>
      <c r="M868" s="3">
        <v>13612.992</v>
      </c>
      <c r="N868" s="3">
        <v>13612.992</v>
      </c>
      <c r="O868" s="4">
        <v>2.3454000000000002</v>
      </c>
      <c r="P868" s="4">
        <v>14.617800000000001</v>
      </c>
      <c r="Q868" s="4">
        <v>0</v>
      </c>
      <c r="R868" s="5">
        <v>7.1999999999999998E-3</v>
      </c>
      <c r="S868">
        <v>33</v>
      </c>
      <c r="T868" t="b">
        <v>0</v>
      </c>
      <c r="U868">
        <v>24</v>
      </c>
      <c r="V868" s="4">
        <v>6.96</v>
      </c>
    </row>
    <row r="869" spans="1:22" hidden="1" x14ac:dyDescent="0.35">
      <c r="A869" t="s">
        <v>28</v>
      </c>
      <c r="B869">
        <v>2</v>
      </c>
      <c r="C869">
        <v>1</v>
      </c>
      <c r="D869">
        <v>2</v>
      </c>
      <c r="E869" t="s">
        <v>22</v>
      </c>
      <c r="F869">
        <v>200</v>
      </c>
      <c r="G869">
        <v>3</v>
      </c>
      <c r="H869">
        <v>20</v>
      </c>
      <c r="I869" t="s">
        <v>26</v>
      </c>
      <c r="J869" s="3">
        <v>47.174660000000003</v>
      </c>
      <c r="K869" s="3">
        <v>13932.264999999999</v>
      </c>
      <c r="L869" s="3">
        <v>15602.912</v>
      </c>
      <c r="M869" s="3">
        <v>13612.992</v>
      </c>
      <c r="N869" s="3">
        <v>13612.992</v>
      </c>
      <c r="O869" s="4">
        <v>2.3454000000000002</v>
      </c>
      <c r="P869" s="4">
        <v>14.617800000000001</v>
      </c>
      <c r="Q869" s="4">
        <v>0</v>
      </c>
      <c r="R869" s="5">
        <v>7.1999999999999998E-3</v>
      </c>
      <c r="S869">
        <v>33</v>
      </c>
      <c r="T869" t="b">
        <v>0</v>
      </c>
      <c r="U869">
        <v>24</v>
      </c>
      <c r="V869" s="4">
        <v>17.38</v>
      </c>
    </row>
    <row r="870" spans="1:22" hidden="1" x14ac:dyDescent="0.35">
      <c r="A870" t="s">
        <v>28</v>
      </c>
      <c r="B870">
        <v>2</v>
      </c>
      <c r="C870">
        <v>1</v>
      </c>
      <c r="D870">
        <v>2</v>
      </c>
      <c r="E870" t="s">
        <v>25</v>
      </c>
      <c r="F870">
        <v>50</v>
      </c>
      <c r="G870">
        <v>1</v>
      </c>
      <c r="H870">
        <v>20</v>
      </c>
      <c r="I870" t="s">
        <v>26</v>
      </c>
      <c r="J870" s="3">
        <v>164.691113</v>
      </c>
      <c r="K870" s="3" t="s">
        <v>24</v>
      </c>
      <c r="L870" s="3" t="s">
        <v>24</v>
      </c>
      <c r="M870" s="3" t="s">
        <v>24</v>
      </c>
      <c r="N870" s="3">
        <v>13612.992</v>
      </c>
      <c r="O870" s="4"/>
      <c r="P870" s="4"/>
      <c r="Q870" s="4"/>
      <c r="R870" s="5">
        <v>0</v>
      </c>
      <c r="S870">
        <v>0</v>
      </c>
      <c r="T870" t="b">
        <v>1</v>
      </c>
      <c r="U870">
        <v>-1</v>
      </c>
      <c r="V870" s="4">
        <v>1.1599999999999999</v>
      </c>
    </row>
    <row r="871" spans="1:22" hidden="1" x14ac:dyDescent="0.35">
      <c r="A871" t="s">
        <v>28</v>
      </c>
      <c r="B871">
        <v>2</v>
      </c>
      <c r="C871">
        <v>1</v>
      </c>
      <c r="D871">
        <v>2</v>
      </c>
      <c r="E871" t="s">
        <v>25</v>
      </c>
      <c r="F871">
        <v>50</v>
      </c>
      <c r="G871">
        <v>3</v>
      </c>
      <c r="H871">
        <v>20</v>
      </c>
      <c r="I871" t="s">
        <v>26</v>
      </c>
      <c r="J871" s="3">
        <v>146.45721399999999</v>
      </c>
      <c r="K871" s="3">
        <v>16621.348000000002</v>
      </c>
      <c r="L871" s="3">
        <v>16621.348000000002</v>
      </c>
      <c r="M871" s="3">
        <v>16621.348000000002</v>
      </c>
      <c r="N871" s="3">
        <v>13612.992</v>
      </c>
      <c r="O871" s="4">
        <v>22.0992</v>
      </c>
      <c r="P871" s="4">
        <v>22.0992</v>
      </c>
      <c r="Q871" s="4">
        <v>22.0992</v>
      </c>
      <c r="R871" s="5">
        <v>1E-4</v>
      </c>
      <c r="S871">
        <v>1</v>
      </c>
      <c r="T871" t="b">
        <v>0</v>
      </c>
      <c r="U871">
        <v>1</v>
      </c>
      <c r="V871" s="4">
        <v>2.67</v>
      </c>
    </row>
    <row r="872" spans="1:22" hidden="1" x14ac:dyDescent="0.35">
      <c r="A872" t="s">
        <v>28</v>
      </c>
      <c r="B872">
        <v>2</v>
      </c>
      <c r="C872">
        <v>1</v>
      </c>
      <c r="D872">
        <v>2</v>
      </c>
      <c r="E872" t="s">
        <v>25</v>
      </c>
      <c r="F872">
        <v>200</v>
      </c>
      <c r="G872">
        <v>1</v>
      </c>
      <c r="H872">
        <v>20</v>
      </c>
      <c r="I872" t="s">
        <v>26</v>
      </c>
      <c r="J872" s="3">
        <v>164.691113</v>
      </c>
      <c r="K872" s="3" t="s">
        <v>24</v>
      </c>
      <c r="L872" s="3" t="s">
        <v>24</v>
      </c>
      <c r="M872" s="3" t="s">
        <v>24</v>
      </c>
      <c r="N872" s="3">
        <v>13612.992</v>
      </c>
      <c r="O872" s="4"/>
      <c r="P872" s="4"/>
      <c r="Q872" s="4"/>
      <c r="R872" s="5">
        <v>0</v>
      </c>
      <c r="S872">
        <v>0</v>
      </c>
      <c r="T872" t="b">
        <v>1</v>
      </c>
      <c r="U872">
        <v>-1</v>
      </c>
      <c r="V872" s="4">
        <v>1.1499999999999999</v>
      </c>
    </row>
    <row r="873" spans="1:22" hidden="1" x14ac:dyDescent="0.35">
      <c r="A873" t="s">
        <v>28</v>
      </c>
      <c r="B873">
        <v>2</v>
      </c>
      <c r="C873">
        <v>1</v>
      </c>
      <c r="D873">
        <v>2</v>
      </c>
      <c r="E873" t="s">
        <v>25</v>
      </c>
      <c r="F873">
        <v>200</v>
      </c>
      <c r="G873">
        <v>3</v>
      </c>
      <c r="H873">
        <v>20</v>
      </c>
      <c r="I873" t="s">
        <v>26</v>
      </c>
      <c r="J873" s="3">
        <v>146.45721399999999</v>
      </c>
      <c r="K873" s="3">
        <v>16621.348000000002</v>
      </c>
      <c r="L873" s="3">
        <v>16621.348000000002</v>
      </c>
      <c r="M873" s="3">
        <v>16621.348000000002</v>
      </c>
      <c r="N873" s="3">
        <v>13612.992</v>
      </c>
      <c r="O873" s="4">
        <v>22.0992</v>
      </c>
      <c r="P873" s="4">
        <v>22.0992</v>
      </c>
      <c r="Q873" s="4">
        <v>22.0992</v>
      </c>
      <c r="R873" s="5">
        <v>1E-4</v>
      </c>
      <c r="S873">
        <v>1</v>
      </c>
      <c r="T873" t="b">
        <v>0</v>
      </c>
      <c r="U873">
        <v>1</v>
      </c>
      <c r="V873" s="4">
        <v>2.66</v>
      </c>
    </row>
    <row r="874" spans="1:22" hidden="1" x14ac:dyDescent="0.35">
      <c r="A874" t="s">
        <v>28</v>
      </c>
      <c r="B874">
        <v>2</v>
      </c>
      <c r="C874">
        <v>1</v>
      </c>
      <c r="D874">
        <v>5</v>
      </c>
      <c r="E874" t="s">
        <v>22</v>
      </c>
      <c r="F874">
        <v>50</v>
      </c>
      <c r="G874">
        <v>1</v>
      </c>
      <c r="H874">
        <v>20</v>
      </c>
      <c r="I874" t="s">
        <v>26</v>
      </c>
      <c r="J874" s="3">
        <v>112.898505</v>
      </c>
      <c r="K874" s="3">
        <v>13612.992</v>
      </c>
      <c r="L874" s="3">
        <v>14481.279</v>
      </c>
      <c r="M874" s="3">
        <v>13612.992</v>
      </c>
      <c r="N874" s="3">
        <v>13612.992</v>
      </c>
      <c r="O874" s="4">
        <v>0</v>
      </c>
      <c r="P874" s="4">
        <v>6.3784000000000001</v>
      </c>
      <c r="Q874" s="4">
        <v>0</v>
      </c>
      <c r="R874" s="5">
        <v>4.8999999999999998E-3</v>
      </c>
      <c r="S874">
        <v>24</v>
      </c>
      <c r="T874" t="b">
        <v>0</v>
      </c>
      <c r="U874">
        <v>5</v>
      </c>
      <c r="V874" s="4">
        <v>6.09</v>
      </c>
    </row>
    <row r="875" spans="1:22" hidden="1" x14ac:dyDescent="0.35">
      <c r="A875" t="s">
        <v>28</v>
      </c>
      <c r="B875">
        <v>2</v>
      </c>
      <c r="C875">
        <v>1</v>
      </c>
      <c r="D875">
        <v>5</v>
      </c>
      <c r="E875" t="s">
        <v>22</v>
      </c>
      <c r="F875">
        <v>50</v>
      </c>
      <c r="G875">
        <v>3</v>
      </c>
      <c r="H875">
        <v>20</v>
      </c>
      <c r="I875" t="s">
        <v>26</v>
      </c>
      <c r="J875" s="3">
        <v>110.127144</v>
      </c>
      <c r="K875" s="3">
        <v>13612.992</v>
      </c>
      <c r="L875" s="3">
        <v>16691.972000000002</v>
      </c>
      <c r="M875" s="3">
        <v>13612.992</v>
      </c>
      <c r="N875" s="3">
        <v>13612.992</v>
      </c>
      <c r="O875" s="4">
        <v>0</v>
      </c>
      <c r="P875" s="4">
        <v>22.617999999999999</v>
      </c>
      <c r="Q875" s="4">
        <v>0</v>
      </c>
      <c r="R875" s="5">
        <v>5.5999999999999999E-3</v>
      </c>
      <c r="S875">
        <v>30</v>
      </c>
      <c r="T875" t="b">
        <v>0</v>
      </c>
      <c r="U875">
        <v>2</v>
      </c>
      <c r="V875" s="4">
        <v>19.739999999999998</v>
      </c>
    </row>
    <row r="876" spans="1:22" hidden="1" x14ac:dyDescent="0.35">
      <c r="A876" t="s">
        <v>28</v>
      </c>
      <c r="B876">
        <v>2</v>
      </c>
      <c r="C876">
        <v>1</v>
      </c>
      <c r="D876">
        <v>5</v>
      </c>
      <c r="E876" t="s">
        <v>22</v>
      </c>
      <c r="F876">
        <v>200</v>
      </c>
      <c r="G876">
        <v>1</v>
      </c>
      <c r="H876">
        <v>20</v>
      </c>
      <c r="I876" t="s">
        <v>26</v>
      </c>
      <c r="J876" s="3">
        <v>112.898505</v>
      </c>
      <c r="K876" s="3">
        <v>13612.992</v>
      </c>
      <c r="L876" s="3">
        <v>14481.279</v>
      </c>
      <c r="M876" s="3">
        <v>13612.992</v>
      </c>
      <c r="N876" s="3">
        <v>13612.992</v>
      </c>
      <c r="O876" s="4">
        <v>0</v>
      </c>
      <c r="P876" s="4">
        <v>6.3784000000000001</v>
      </c>
      <c r="Q876" s="4">
        <v>0</v>
      </c>
      <c r="R876" s="5">
        <v>4.8999999999999998E-3</v>
      </c>
      <c r="S876">
        <v>24</v>
      </c>
      <c r="T876" t="b">
        <v>0</v>
      </c>
      <c r="U876">
        <v>5</v>
      </c>
      <c r="V876" s="4">
        <v>5.9</v>
      </c>
    </row>
    <row r="877" spans="1:22" hidden="1" x14ac:dyDescent="0.35">
      <c r="A877" t="s">
        <v>28</v>
      </c>
      <c r="B877">
        <v>2</v>
      </c>
      <c r="C877">
        <v>1</v>
      </c>
      <c r="D877">
        <v>5</v>
      </c>
      <c r="E877" t="s">
        <v>22</v>
      </c>
      <c r="F877">
        <v>200</v>
      </c>
      <c r="G877">
        <v>3</v>
      </c>
      <c r="H877">
        <v>20</v>
      </c>
      <c r="I877" t="s">
        <v>26</v>
      </c>
      <c r="J877" s="3">
        <v>110.127144</v>
      </c>
      <c r="K877" s="3">
        <v>13612.992</v>
      </c>
      <c r="L877" s="3">
        <v>16691.972000000002</v>
      </c>
      <c r="M877" s="3">
        <v>13612.992</v>
      </c>
      <c r="N877" s="3">
        <v>13612.992</v>
      </c>
      <c r="O877" s="4">
        <v>0</v>
      </c>
      <c r="P877" s="4">
        <v>22.617999999999999</v>
      </c>
      <c r="Q877" s="4">
        <v>0</v>
      </c>
      <c r="R877" s="5">
        <v>5.5999999999999999E-3</v>
      </c>
      <c r="S877">
        <v>30</v>
      </c>
      <c r="T877" t="b">
        <v>0</v>
      </c>
      <c r="U877">
        <v>2</v>
      </c>
      <c r="V877" s="4">
        <v>19.77</v>
      </c>
    </row>
    <row r="878" spans="1:22" hidden="1" x14ac:dyDescent="0.35">
      <c r="A878" t="s">
        <v>28</v>
      </c>
      <c r="B878">
        <v>2</v>
      </c>
      <c r="C878">
        <v>1</v>
      </c>
      <c r="D878">
        <v>5</v>
      </c>
      <c r="E878" t="s">
        <v>25</v>
      </c>
      <c r="F878">
        <v>50</v>
      </c>
      <c r="G878">
        <v>1</v>
      </c>
      <c r="H878">
        <v>20</v>
      </c>
      <c r="I878" t="s">
        <v>26</v>
      </c>
      <c r="J878" s="3">
        <v>418.17695200000003</v>
      </c>
      <c r="K878" s="3" t="s">
        <v>24</v>
      </c>
      <c r="L878" s="3" t="s">
        <v>24</v>
      </c>
      <c r="M878" s="3" t="s">
        <v>24</v>
      </c>
      <c r="N878" s="3">
        <v>13612.992</v>
      </c>
      <c r="O878" s="4"/>
      <c r="P878" s="4"/>
      <c r="Q878" s="4"/>
      <c r="R878" s="5">
        <v>0</v>
      </c>
      <c r="S878">
        <v>0</v>
      </c>
      <c r="T878" t="b">
        <v>1</v>
      </c>
      <c r="U878">
        <v>-1</v>
      </c>
      <c r="V878" s="4">
        <v>1.19</v>
      </c>
    </row>
    <row r="879" spans="1:22" hidden="1" x14ac:dyDescent="0.35">
      <c r="A879" t="s">
        <v>28</v>
      </c>
      <c r="B879">
        <v>2</v>
      </c>
      <c r="C879">
        <v>1</v>
      </c>
      <c r="D879">
        <v>5</v>
      </c>
      <c r="E879" t="s">
        <v>25</v>
      </c>
      <c r="F879">
        <v>50</v>
      </c>
      <c r="G879">
        <v>3</v>
      </c>
      <c r="H879">
        <v>20</v>
      </c>
      <c r="I879" t="s">
        <v>26</v>
      </c>
      <c r="J879" s="3">
        <v>365.86404099999999</v>
      </c>
      <c r="K879" s="3" t="s">
        <v>24</v>
      </c>
      <c r="L879" s="3" t="s">
        <v>24</v>
      </c>
      <c r="M879" s="3" t="s">
        <v>24</v>
      </c>
      <c r="N879" s="3">
        <v>13612.992</v>
      </c>
      <c r="O879" s="4"/>
      <c r="P879" s="4"/>
      <c r="Q879" s="4"/>
      <c r="R879" s="5">
        <v>0</v>
      </c>
      <c r="S879">
        <v>0</v>
      </c>
      <c r="T879" t="b">
        <v>1</v>
      </c>
      <c r="U879">
        <v>-1</v>
      </c>
      <c r="V879" s="4">
        <v>2.69</v>
      </c>
    </row>
    <row r="880" spans="1:22" hidden="1" x14ac:dyDescent="0.35">
      <c r="A880" t="s">
        <v>28</v>
      </c>
      <c r="B880">
        <v>2</v>
      </c>
      <c r="C880">
        <v>1</v>
      </c>
      <c r="D880">
        <v>5</v>
      </c>
      <c r="E880" t="s">
        <v>25</v>
      </c>
      <c r="F880">
        <v>200</v>
      </c>
      <c r="G880">
        <v>1</v>
      </c>
      <c r="H880">
        <v>20</v>
      </c>
      <c r="I880" t="s">
        <v>26</v>
      </c>
      <c r="J880" s="3">
        <v>418.17695200000003</v>
      </c>
      <c r="K880" s="3" t="s">
        <v>24</v>
      </c>
      <c r="L880" s="3" t="s">
        <v>24</v>
      </c>
      <c r="M880" s="3" t="s">
        <v>24</v>
      </c>
      <c r="N880" s="3">
        <v>13612.992</v>
      </c>
      <c r="O880" s="4"/>
      <c r="P880" s="4"/>
      <c r="Q880" s="4"/>
      <c r="R880" s="5">
        <v>0</v>
      </c>
      <c r="S880">
        <v>0</v>
      </c>
      <c r="T880" t="b">
        <v>1</v>
      </c>
      <c r="U880">
        <v>-1</v>
      </c>
      <c r="V880" s="4">
        <v>1.18</v>
      </c>
    </row>
    <row r="881" spans="1:22" hidden="1" x14ac:dyDescent="0.35">
      <c r="A881" t="s">
        <v>28</v>
      </c>
      <c r="B881">
        <v>2</v>
      </c>
      <c r="C881">
        <v>1</v>
      </c>
      <c r="D881">
        <v>5</v>
      </c>
      <c r="E881" t="s">
        <v>25</v>
      </c>
      <c r="F881">
        <v>200</v>
      </c>
      <c r="G881">
        <v>3</v>
      </c>
      <c r="H881">
        <v>20</v>
      </c>
      <c r="I881" t="s">
        <v>26</v>
      </c>
      <c r="J881" s="3">
        <v>365.86404099999999</v>
      </c>
      <c r="K881" s="3" t="s">
        <v>24</v>
      </c>
      <c r="L881" s="3" t="s">
        <v>24</v>
      </c>
      <c r="M881" s="3" t="s">
        <v>24</v>
      </c>
      <c r="N881" s="3">
        <v>13612.992</v>
      </c>
      <c r="O881" s="4"/>
      <c r="P881" s="4"/>
      <c r="Q881" s="4"/>
      <c r="R881" s="5">
        <v>0</v>
      </c>
      <c r="S881">
        <v>0</v>
      </c>
      <c r="T881" t="b">
        <v>1</v>
      </c>
      <c r="U881">
        <v>-1</v>
      </c>
      <c r="V881" s="4">
        <v>2.67</v>
      </c>
    </row>
    <row r="882" spans="1:22" hidden="1" x14ac:dyDescent="0.35">
      <c r="A882" t="s">
        <v>28</v>
      </c>
      <c r="B882">
        <v>2</v>
      </c>
      <c r="C882">
        <v>1</v>
      </c>
      <c r="D882">
        <v>10</v>
      </c>
      <c r="E882" t="s">
        <v>22</v>
      </c>
      <c r="F882">
        <v>50</v>
      </c>
      <c r="G882">
        <v>1</v>
      </c>
      <c r="H882">
        <v>20</v>
      </c>
      <c r="I882" t="s">
        <v>26</v>
      </c>
      <c r="J882" s="3">
        <v>224.22592499999999</v>
      </c>
      <c r="K882" s="3">
        <v>13612.992</v>
      </c>
      <c r="L882" s="3">
        <v>15602.912</v>
      </c>
      <c r="M882" s="3">
        <v>13612.992</v>
      </c>
      <c r="N882" s="3">
        <v>13612.992</v>
      </c>
      <c r="O882" s="4">
        <v>0</v>
      </c>
      <c r="P882" s="4">
        <v>14.617800000000001</v>
      </c>
      <c r="Q882" s="4">
        <v>0</v>
      </c>
      <c r="R882" s="5">
        <v>6.4000000000000003E-3</v>
      </c>
      <c r="S882">
        <v>31</v>
      </c>
      <c r="T882" t="b">
        <v>0</v>
      </c>
      <c r="U882">
        <v>10</v>
      </c>
      <c r="V882" s="4">
        <v>5.62</v>
      </c>
    </row>
    <row r="883" spans="1:22" hidden="1" x14ac:dyDescent="0.35">
      <c r="A883" t="s">
        <v>28</v>
      </c>
      <c r="B883">
        <v>2</v>
      </c>
      <c r="C883">
        <v>1</v>
      </c>
      <c r="D883">
        <v>10</v>
      </c>
      <c r="E883" t="s">
        <v>22</v>
      </c>
      <c r="F883">
        <v>50</v>
      </c>
      <c r="G883">
        <v>3</v>
      </c>
      <c r="H883">
        <v>20</v>
      </c>
      <c r="I883" t="s">
        <v>26</v>
      </c>
      <c r="J883" s="3">
        <v>220.517449</v>
      </c>
      <c r="K883" s="3">
        <v>13612.992</v>
      </c>
      <c r="L883" s="3">
        <v>15021.325000000001</v>
      </c>
      <c r="M883" s="3">
        <v>13612.992</v>
      </c>
      <c r="N883" s="3">
        <v>13612.992</v>
      </c>
      <c r="O883" s="4">
        <v>0</v>
      </c>
      <c r="P883" s="4">
        <v>10.345499999999999</v>
      </c>
      <c r="Q883" s="4">
        <v>0</v>
      </c>
      <c r="R883" s="5">
        <v>5.0000000000000001E-3</v>
      </c>
      <c r="S883">
        <v>27</v>
      </c>
      <c r="T883" t="b">
        <v>0</v>
      </c>
      <c r="U883">
        <v>2</v>
      </c>
      <c r="V883" s="4">
        <v>18.170000000000002</v>
      </c>
    </row>
    <row r="884" spans="1:22" hidden="1" x14ac:dyDescent="0.35">
      <c r="A884" t="s">
        <v>28</v>
      </c>
      <c r="B884">
        <v>2</v>
      </c>
      <c r="C884">
        <v>1</v>
      </c>
      <c r="D884">
        <v>10</v>
      </c>
      <c r="E884" t="s">
        <v>22</v>
      </c>
      <c r="F884">
        <v>200</v>
      </c>
      <c r="G884">
        <v>1</v>
      </c>
      <c r="H884">
        <v>20</v>
      </c>
      <c r="I884" t="s">
        <v>26</v>
      </c>
      <c r="J884" s="3">
        <v>224.22592499999999</v>
      </c>
      <c r="K884" s="3">
        <v>13612.992</v>
      </c>
      <c r="L884" s="3">
        <v>15602.912</v>
      </c>
      <c r="M884" s="3">
        <v>13612.992</v>
      </c>
      <c r="N884" s="3">
        <v>13612.992</v>
      </c>
      <c r="O884" s="4">
        <v>0</v>
      </c>
      <c r="P884" s="4">
        <v>14.617800000000001</v>
      </c>
      <c r="Q884" s="4">
        <v>0</v>
      </c>
      <c r="R884" s="5">
        <v>6.4000000000000003E-3</v>
      </c>
      <c r="S884">
        <v>31</v>
      </c>
      <c r="T884" t="b">
        <v>0</v>
      </c>
      <c r="U884">
        <v>10</v>
      </c>
      <c r="V884" s="4">
        <v>5.62</v>
      </c>
    </row>
    <row r="885" spans="1:22" hidden="1" x14ac:dyDescent="0.35">
      <c r="A885" t="s">
        <v>28</v>
      </c>
      <c r="B885">
        <v>2</v>
      </c>
      <c r="C885">
        <v>1</v>
      </c>
      <c r="D885">
        <v>10</v>
      </c>
      <c r="E885" t="s">
        <v>22</v>
      </c>
      <c r="F885">
        <v>200</v>
      </c>
      <c r="G885">
        <v>3</v>
      </c>
      <c r="H885">
        <v>20</v>
      </c>
      <c r="I885" t="s">
        <v>26</v>
      </c>
      <c r="J885" s="3">
        <v>220.517449</v>
      </c>
      <c r="K885" s="3">
        <v>13612.992</v>
      </c>
      <c r="L885" s="3">
        <v>15021.325000000001</v>
      </c>
      <c r="M885" s="3">
        <v>13612.992</v>
      </c>
      <c r="N885" s="3">
        <v>13612.992</v>
      </c>
      <c r="O885" s="4">
        <v>0</v>
      </c>
      <c r="P885" s="4">
        <v>10.345499999999999</v>
      </c>
      <c r="Q885" s="4">
        <v>0</v>
      </c>
      <c r="R885" s="5">
        <v>5.0000000000000001E-3</v>
      </c>
      <c r="S885">
        <v>27</v>
      </c>
      <c r="T885" t="b">
        <v>0</v>
      </c>
      <c r="U885">
        <v>2</v>
      </c>
      <c r="V885" s="4">
        <v>18.25</v>
      </c>
    </row>
    <row r="886" spans="1:22" hidden="1" x14ac:dyDescent="0.35">
      <c r="A886" t="s">
        <v>28</v>
      </c>
      <c r="B886">
        <v>2</v>
      </c>
      <c r="C886">
        <v>1</v>
      </c>
      <c r="D886">
        <v>10</v>
      </c>
      <c r="E886" t="s">
        <v>25</v>
      </c>
      <c r="F886">
        <v>50</v>
      </c>
      <c r="G886">
        <v>1</v>
      </c>
      <c r="H886">
        <v>20</v>
      </c>
      <c r="I886" t="s">
        <v>26</v>
      </c>
      <c r="J886" s="3">
        <v>859.66591000000005</v>
      </c>
      <c r="K886" s="3" t="s">
        <v>24</v>
      </c>
      <c r="L886" s="3" t="s">
        <v>24</v>
      </c>
      <c r="M886" s="3" t="s">
        <v>24</v>
      </c>
      <c r="N886" s="3">
        <v>13612.992</v>
      </c>
      <c r="O886" s="4"/>
      <c r="P886" s="4"/>
      <c r="Q886" s="4"/>
      <c r="R886" s="5">
        <v>0</v>
      </c>
      <c r="S886">
        <v>0</v>
      </c>
      <c r="T886" t="b">
        <v>1</v>
      </c>
      <c r="U886">
        <v>-1</v>
      </c>
      <c r="V886" s="4">
        <v>1.1599999999999999</v>
      </c>
    </row>
    <row r="887" spans="1:22" hidden="1" x14ac:dyDescent="0.35">
      <c r="A887" t="s">
        <v>28</v>
      </c>
      <c r="B887">
        <v>2</v>
      </c>
      <c r="C887">
        <v>1</v>
      </c>
      <c r="D887">
        <v>10</v>
      </c>
      <c r="E887" t="s">
        <v>25</v>
      </c>
      <c r="F887">
        <v>50</v>
      </c>
      <c r="G887">
        <v>3</v>
      </c>
      <c r="H887">
        <v>20</v>
      </c>
      <c r="I887" t="s">
        <v>26</v>
      </c>
      <c r="J887" s="3">
        <v>712.78829499999995</v>
      </c>
      <c r="K887" s="3" t="s">
        <v>24</v>
      </c>
      <c r="L887" s="3" t="s">
        <v>24</v>
      </c>
      <c r="M887" s="3" t="s">
        <v>24</v>
      </c>
      <c r="N887" s="3">
        <v>13612.992</v>
      </c>
      <c r="O887" s="4"/>
      <c r="P887" s="4"/>
      <c r="Q887" s="4"/>
      <c r="R887" s="5">
        <v>0</v>
      </c>
      <c r="S887">
        <v>0</v>
      </c>
      <c r="T887" t="b">
        <v>1</v>
      </c>
      <c r="U887">
        <v>-1</v>
      </c>
      <c r="V887" s="4">
        <v>2.67</v>
      </c>
    </row>
    <row r="888" spans="1:22" hidden="1" x14ac:dyDescent="0.35">
      <c r="A888" t="s">
        <v>28</v>
      </c>
      <c r="B888">
        <v>2</v>
      </c>
      <c r="C888">
        <v>1</v>
      </c>
      <c r="D888">
        <v>10</v>
      </c>
      <c r="E888" t="s">
        <v>25</v>
      </c>
      <c r="F888">
        <v>200</v>
      </c>
      <c r="G888">
        <v>1</v>
      </c>
      <c r="H888">
        <v>20</v>
      </c>
      <c r="I888" t="s">
        <v>26</v>
      </c>
      <c r="J888" s="3">
        <v>859.66591000000005</v>
      </c>
      <c r="K888" s="3" t="s">
        <v>24</v>
      </c>
      <c r="L888" s="3" t="s">
        <v>24</v>
      </c>
      <c r="M888" s="3" t="s">
        <v>24</v>
      </c>
      <c r="N888" s="3">
        <v>13612.992</v>
      </c>
      <c r="O888" s="4"/>
      <c r="P888" s="4"/>
      <c r="Q888" s="4"/>
      <c r="R888" s="5">
        <v>0</v>
      </c>
      <c r="S888">
        <v>0</v>
      </c>
      <c r="T888" t="b">
        <v>1</v>
      </c>
      <c r="U888">
        <v>-1</v>
      </c>
      <c r="V888" s="4">
        <v>1.17</v>
      </c>
    </row>
    <row r="889" spans="1:22" hidden="1" x14ac:dyDescent="0.35">
      <c r="A889" t="s">
        <v>28</v>
      </c>
      <c r="B889">
        <v>2</v>
      </c>
      <c r="C889">
        <v>1</v>
      </c>
      <c r="D889">
        <v>10</v>
      </c>
      <c r="E889" t="s">
        <v>25</v>
      </c>
      <c r="F889">
        <v>200</v>
      </c>
      <c r="G889">
        <v>3</v>
      </c>
      <c r="H889">
        <v>20</v>
      </c>
      <c r="I889" t="s">
        <v>26</v>
      </c>
      <c r="J889" s="3">
        <v>712.78829499999995</v>
      </c>
      <c r="K889" s="3" t="s">
        <v>24</v>
      </c>
      <c r="L889" s="3" t="s">
        <v>24</v>
      </c>
      <c r="M889" s="3" t="s">
        <v>24</v>
      </c>
      <c r="N889" s="3">
        <v>13612.992</v>
      </c>
      <c r="O889" s="4"/>
      <c r="P889" s="4"/>
      <c r="Q889" s="4"/>
      <c r="R889" s="5">
        <v>0</v>
      </c>
      <c r="S889">
        <v>0</v>
      </c>
      <c r="T889" t="b">
        <v>1</v>
      </c>
      <c r="U889">
        <v>-1</v>
      </c>
      <c r="V889" s="4">
        <v>2.64</v>
      </c>
    </row>
    <row r="890" spans="1:22" hidden="1" x14ac:dyDescent="0.35">
      <c r="A890" t="s">
        <v>28</v>
      </c>
      <c r="B890">
        <v>2</v>
      </c>
      <c r="C890">
        <v>2</v>
      </c>
      <c r="D890">
        <v>2</v>
      </c>
      <c r="E890" t="s">
        <v>22</v>
      </c>
      <c r="F890">
        <v>50</v>
      </c>
      <c r="G890">
        <v>1</v>
      </c>
      <c r="H890">
        <v>20</v>
      </c>
      <c r="I890" t="s">
        <v>26</v>
      </c>
      <c r="J890" s="3">
        <v>54.974125999999998</v>
      </c>
      <c r="K890" s="3">
        <v>13612.992</v>
      </c>
      <c r="L890" s="3">
        <v>15602.912</v>
      </c>
      <c r="M890" s="3">
        <v>13612.992</v>
      </c>
      <c r="N890" s="3">
        <v>13612.992</v>
      </c>
      <c r="O890" s="4">
        <v>0</v>
      </c>
      <c r="P890" s="4">
        <v>14.617800000000001</v>
      </c>
      <c r="Q890" s="4">
        <v>0</v>
      </c>
      <c r="R890" s="5">
        <v>2.5000000000000001E-3</v>
      </c>
      <c r="S890">
        <v>18</v>
      </c>
      <c r="T890" t="b">
        <v>0</v>
      </c>
      <c r="U890">
        <v>4</v>
      </c>
      <c r="V890" s="4">
        <v>10.039999999999999</v>
      </c>
    </row>
    <row r="891" spans="1:22" hidden="1" x14ac:dyDescent="0.35">
      <c r="A891" t="s">
        <v>28</v>
      </c>
      <c r="B891">
        <v>2</v>
      </c>
      <c r="C891">
        <v>2</v>
      </c>
      <c r="D891">
        <v>2</v>
      </c>
      <c r="E891" t="s">
        <v>22</v>
      </c>
      <c r="F891">
        <v>50</v>
      </c>
      <c r="G891">
        <v>3</v>
      </c>
      <c r="H891">
        <v>20</v>
      </c>
      <c r="I891" t="s">
        <v>26</v>
      </c>
      <c r="J891" s="3">
        <v>49.221980000000002</v>
      </c>
      <c r="K891" s="3">
        <v>13612.992</v>
      </c>
      <c r="L891" s="3">
        <v>13932.264999999999</v>
      </c>
      <c r="M891" s="3">
        <v>13612.992</v>
      </c>
      <c r="N891" s="3">
        <v>13612.992</v>
      </c>
      <c r="O891" s="4">
        <v>0</v>
      </c>
      <c r="P891" s="4">
        <v>2.3454000000000002</v>
      </c>
      <c r="Q891" s="4">
        <v>0</v>
      </c>
      <c r="R891" s="5">
        <v>6.8999999999999999E-3</v>
      </c>
      <c r="S891">
        <v>28</v>
      </c>
      <c r="T891" t="b">
        <v>0</v>
      </c>
      <c r="U891">
        <v>10</v>
      </c>
      <c r="V891" s="4">
        <v>28.89</v>
      </c>
    </row>
    <row r="892" spans="1:22" hidden="1" x14ac:dyDescent="0.35">
      <c r="A892" t="s">
        <v>28</v>
      </c>
      <c r="B892">
        <v>2</v>
      </c>
      <c r="C892">
        <v>2</v>
      </c>
      <c r="D892">
        <v>2</v>
      </c>
      <c r="E892" t="s">
        <v>22</v>
      </c>
      <c r="F892">
        <v>200</v>
      </c>
      <c r="G892">
        <v>1</v>
      </c>
      <c r="H892">
        <v>20</v>
      </c>
      <c r="I892" t="s">
        <v>26</v>
      </c>
      <c r="J892" s="3">
        <v>54.974125999999998</v>
      </c>
      <c r="K892" s="3">
        <v>13612.992</v>
      </c>
      <c r="L892" s="3">
        <v>15602.912</v>
      </c>
      <c r="M892" s="3">
        <v>13612.992</v>
      </c>
      <c r="N892" s="3">
        <v>13612.992</v>
      </c>
      <c r="O892" s="4">
        <v>0</v>
      </c>
      <c r="P892" s="4">
        <v>14.617800000000001</v>
      </c>
      <c r="Q892" s="4">
        <v>0</v>
      </c>
      <c r="R892" s="5">
        <v>2.5000000000000001E-3</v>
      </c>
      <c r="S892">
        <v>18</v>
      </c>
      <c r="T892" t="b">
        <v>0</v>
      </c>
      <c r="U892">
        <v>4</v>
      </c>
      <c r="V892" s="4">
        <v>10.09</v>
      </c>
    </row>
    <row r="893" spans="1:22" hidden="1" x14ac:dyDescent="0.35">
      <c r="A893" t="s">
        <v>28</v>
      </c>
      <c r="B893">
        <v>2</v>
      </c>
      <c r="C893">
        <v>2</v>
      </c>
      <c r="D893">
        <v>2</v>
      </c>
      <c r="E893" t="s">
        <v>22</v>
      </c>
      <c r="F893">
        <v>200</v>
      </c>
      <c r="G893">
        <v>3</v>
      </c>
      <c r="H893">
        <v>20</v>
      </c>
      <c r="I893" t="s">
        <v>26</v>
      </c>
      <c r="J893" s="3">
        <v>49.221980000000002</v>
      </c>
      <c r="K893" s="3">
        <v>13612.992</v>
      </c>
      <c r="L893" s="3">
        <v>13932.264999999999</v>
      </c>
      <c r="M893" s="3">
        <v>13612.992</v>
      </c>
      <c r="N893" s="3">
        <v>13612.992</v>
      </c>
      <c r="O893" s="4">
        <v>0</v>
      </c>
      <c r="P893" s="4">
        <v>2.3454000000000002</v>
      </c>
      <c r="Q893" s="4">
        <v>0</v>
      </c>
      <c r="R893" s="5">
        <v>6.8999999999999999E-3</v>
      </c>
      <c r="S893">
        <v>28</v>
      </c>
      <c r="T893" t="b">
        <v>0</v>
      </c>
      <c r="U893">
        <v>10</v>
      </c>
      <c r="V893" s="4">
        <v>29.21</v>
      </c>
    </row>
    <row r="894" spans="1:22" hidden="1" x14ac:dyDescent="0.35">
      <c r="A894" t="s">
        <v>28</v>
      </c>
      <c r="B894">
        <v>2</v>
      </c>
      <c r="C894">
        <v>2</v>
      </c>
      <c r="D894">
        <v>2</v>
      </c>
      <c r="E894" t="s">
        <v>25</v>
      </c>
      <c r="F894">
        <v>50</v>
      </c>
      <c r="G894">
        <v>1</v>
      </c>
      <c r="H894">
        <v>20</v>
      </c>
      <c r="I894" t="s">
        <v>26</v>
      </c>
      <c r="J894" s="3">
        <v>147.32015100000001</v>
      </c>
      <c r="K894" s="3">
        <v>15889.611999999999</v>
      </c>
      <c r="L894" s="3">
        <v>15889.611999999999</v>
      </c>
      <c r="M894" s="3">
        <v>15889.611999999999</v>
      </c>
      <c r="N894" s="3">
        <v>13612.992</v>
      </c>
      <c r="O894" s="4">
        <v>16.7239</v>
      </c>
      <c r="P894" s="4">
        <v>16.7239</v>
      </c>
      <c r="Q894" s="4">
        <v>16.7239</v>
      </c>
      <c r="R894" s="5">
        <v>2.9999999999999997E-4</v>
      </c>
      <c r="S894">
        <v>3</v>
      </c>
      <c r="T894" t="b">
        <v>0</v>
      </c>
      <c r="U894">
        <v>1</v>
      </c>
      <c r="V894" s="4">
        <v>1.93</v>
      </c>
    </row>
    <row r="895" spans="1:22" hidden="1" x14ac:dyDescent="0.35">
      <c r="A895" t="s">
        <v>28</v>
      </c>
      <c r="B895">
        <v>2</v>
      </c>
      <c r="C895">
        <v>2</v>
      </c>
      <c r="D895">
        <v>2</v>
      </c>
      <c r="E895" t="s">
        <v>25</v>
      </c>
      <c r="F895">
        <v>50</v>
      </c>
      <c r="G895">
        <v>3</v>
      </c>
      <c r="H895">
        <v>20</v>
      </c>
      <c r="I895" t="s">
        <v>26</v>
      </c>
      <c r="J895" s="3">
        <v>121.398466</v>
      </c>
      <c r="K895" s="3">
        <v>13932.264999999999</v>
      </c>
      <c r="L895" s="3">
        <v>15021.325000000001</v>
      </c>
      <c r="M895" s="3">
        <v>13932.264999999999</v>
      </c>
      <c r="N895" s="3">
        <v>13612.992</v>
      </c>
      <c r="O895" s="4">
        <v>2.3454000000000002</v>
      </c>
      <c r="P895" s="4">
        <v>10.345499999999999</v>
      </c>
      <c r="Q895" s="4">
        <v>2.3454000000000002</v>
      </c>
      <c r="R895" s="5">
        <v>5.0000000000000001E-4</v>
      </c>
      <c r="S895">
        <v>5</v>
      </c>
      <c r="T895" t="b">
        <v>0</v>
      </c>
      <c r="U895">
        <v>2</v>
      </c>
      <c r="V895" s="4">
        <v>4.7699999999999996</v>
      </c>
    </row>
    <row r="896" spans="1:22" hidden="1" x14ac:dyDescent="0.35">
      <c r="A896" t="s">
        <v>28</v>
      </c>
      <c r="B896">
        <v>2</v>
      </c>
      <c r="C896">
        <v>2</v>
      </c>
      <c r="D896">
        <v>2</v>
      </c>
      <c r="E896" t="s">
        <v>25</v>
      </c>
      <c r="F896">
        <v>200</v>
      </c>
      <c r="G896">
        <v>1</v>
      </c>
      <c r="H896">
        <v>20</v>
      </c>
      <c r="I896" t="s">
        <v>26</v>
      </c>
      <c r="J896" s="3">
        <v>147.32015100000001</v>
      </c>
      <c r="K896" s="3">
        <v>15889.611999999999</v>
      </c>
      <c r="L896" s="3">
        <v>15889.611999999999</v>
      </c>
      <c r="M896" s="3">
        <v>15889.611999999999</v>
      </c>
      <c r="N896" s="3">
        <v>13612.992</v>
      </c>
      <c r="O896" s="4">
        <v>16.7239</v>
      </c>
      <c r="P896" s="4">
        <v>16.7239</v>
      </c>
      <c r="Q896" s="4">
        <v>16.7239</v>
      </c>
      <c r="R896" s="5">
        <v>2.9999999999999997E-4</v>
      </c>
      <c r="S896">
        <v>3</v>
      </c>
      <c r="T896" t="b">
        <v>0</v>
      </c>
      <c r="U896">
        <v>1</v>
      </c>
      <c r="V896" s="4">
        <v>1.93</v>
      </c>
    </row>
    <row r="897" spans="1:22" hidden="1" x14ac:dyDescent="0.35">
      <c r="A897" t="s">
        <v>28</v>
      </c>
      <c r="B897">
        <v>2</v>
      </c>
      <c r="C897">
        <v>2</v>
      </c>
      <c r="D897">
        <v>2</v>
      </c>
      <c r="E897" t="s">
        <v>25</v>
      </c>
      <c r="F897">
        <v>200</v>
      </c>
      <c r="G897">
        <v>3</v>
      </c>
      <c r="H897">
        <v>20</v>
      </c>
      <c r="I897" t="s">
        <v>26</v>
      </c>
      <c r="J897" s="3">
        <v>121.398466</v>
      </c>
      <c r="K897" s="3">
        <v>13932.264999999999</v>
      </c>
      <c r="L897" s="3">
        <v>15021.325000000001</v>
      </c>
      <c r="M897" s="3">
        <v>13932.264999999999</v>
      </c>
      <c r="N897" s="3">
        <v>13612.992</v>
      </c>
      <c r="O897" s="4">
        <v>2.3454000000000002</v>
      </c>
      <c r="P897" s="4">
        <v>10.345499999999999</v>
      </c>
      <c r="Q897" s="4">
        <v>2.3454000000000002</v>
      </c>
      <c r="R897" s="5">
        <v>5.0000000000000001E-4</v>
      </c>
      <c r="S897">
        <v>5</v>
      </c>
      <c r="T897" t="b">
        <v>0</v>
      </c>
      <c r="U897">
        <v>2</v>
      </c>
      <c r="V897" s="4">
        <v>4.7</v>
      </c>
    </row>
    <row r="898" spans="1:22" hidden="1" x14ac:dyDescent="0.35">
      <c r="A898" t="s">
        <v>28</v>
      </c>
      <c r="B898">
        <v>2</v>
      </c>
      <c r="C898">
        <v>2</v>
      </c>
      <c r="D898">
        <v>5</v>
      </c>
      <c r="E898" t="s">
        <v>22</v>
      </c>
      <c r="F898">
        <v>50</v>
      </c>
      <c r="G898">
        <v>1</v>
      </c>
      <c r="H898">
        <v>20</v>
      </c>
      <c r="I898" t="s">
        <v>26</v>
      </c>
      <c r="J898" s="3">
        <v>120.72082</v>
      </c>
      <c r="K898" s="3">
        <v>15021.325000000001</v>
      </c>
      <c r="L898" s="3">
        <v>15602.912</v>
      </c>
      <c r="M898" s="3">
        <v>14481.279</v>
      </c>
      <c r="N898" s="3">
        <v>13612.992</v>
      </c>
      <c r="O898" s="4">
        <v>10.345499999999999</v>
      </c>
      <c r="P898" s="4">
        <v>14.617800000000001</v>
      </c>
      <c r="Q898" s="4">
        <v>6.3784000000000001</v>
      </c>
      <c r="R898" s="5">
        <v>4.0000000000000001E-3</v>
      </c>
      <c r="S898">
        <v>24</v>
      </c>
      <c r="T898" t="b">
        <v>0</v>
      </c>
      <c r="U898">
        <v>14</v>
      </c>
      <c r="V898" s="4">
        <v>11.09</v>
      </c>
    </row>
    <row r="899" spans="1:22" hidden="1" x14ac:dyDescent="0.35">
      <c r="A899" t="s">
        <v>28</v>
      </c>
      <c r="B899">
        <v>2</v>
      </c>
      <c r="C899">
        <v>2</v>
      </c>
      <c r="D899">
        <v>5</v>
      </c>
      <c r="E899" t="s">
        <v>22</v>
      </c>
      <c r="F899">
        <v>50</v>
      </c>
      <c r="G899">
        <v>3</v>
      </c>
      <c r="H899">
        <v>20</v>
      </c>
      <c r="I899" t="s">
        <v>26</v>
      </c>
      <c r="J899" s="3">
        <v>114.008781</v>
      </c>
      <c r="K899" s="3">
        <v>13612.992</v>
      </c>
      <c r="L899" s="3">
        <v>17742.981</v>
      </c>
      <c r="M899" s="3">
        <v>13612.992</v>
      </c>
      <c r="N899" s="3">
        <v>13612.992</v>
      </c>
      <c r="O899" s="4">
        <v>0</v>
      </c>
      <c r="P899" s="4">
        <v>30.3386</v>
      </c>
      <c r="Q899" s="4">
        <v>0</v>
      </c>
      <c r="R899" s="5">
        <v>7.1000000000000004E-3</v>
      </c>
      <c r="S899">
        <v>32</v>
      </c>
      <c r="T899" t="b">
        <v>0</v>
      </c>
      <c r="U899">
        <v>2</v>
      </c>
      <c r="V899" s="4">
        <v>31.75</v>
      </c>
    </row>
    <row r="900" spans="1:22" hidden="1" x14ac:dyDescent="0.35">
      <c r="A900" t="s">
        <v>28</v>
      </c>
      <c r="B900">
        <v>2</v>
      </c>
      <c r="C900">
        <v>2</v>
      </c>
      <c r="D900">
        <v>5</v>
      </c>
      <c r="E900" t="s">
        <v>22</v>
      </c>
      <c r="F900">
        <v>200</v>
      </c>
      <c r="G900">
        <v>1</v>
      </c>
      <c r="H900">
        <v>20</v>
      </c>
      <c r="I900" t="s">
        <v>26</v>
      </c>
      <c r="J900" s="3">
        <v>120.72082</v>
      </c>
      <c r="K900" s="3">
        <v>15021.325000000001</v>
      </c>
      <c r="L900" s="3">
        <v>15602.912</v>
      </c>
      <c r="M900" s="3">
        <v>14481.279</v>
      </c>
      <c r="N900" s="3">
        <v>13612.992</v>
      </c>
      <c r="O900" s="4">
        <v>10.345499999999999</v>
      </c>
      <c r="P900" s="4">
        <v>14.617800000000001</v>
      </c>
      <c r="Q900" s="4">
        <v>6.3784000000000001</v>
      </c>
      <c r="R900" s="5">
        <v>4.0000000000000001E-3</v>
      </c>
      <c r="S900">
        <v>24</v>
      </c>
      <c r="T900" t="b">
        <v>0</v>
      </c>
      <c r="U900">
        <v>14</v>
      </c>
      <c r="V900" s="4">
        <v>11.16</v>
      </c>
    </row>
    <row r="901" spans="1:22" hidden="1" x14ac:dyDescent="0.35">
      <c r="A901" t="s">
        <v>28</v>
      </c>
      <c r="B901">
        <v>2</v>
      </c>
      <c r="C901">
        <v>2</v>
      </c>
      <c r="D901">
        <v>5</v>
      </c>
      <c r="E901" t="s">
        <v>22</v>
      </c>
      <c r="F901">
        <v>200</v>
      </c>
      <c r="G901">
        <v>3</v>
      </c>
      <c r="H901">
        <v>20</v>
      </c>
      <c r="I901" t="s">
        <v>26</v>
      </c>
      <c r="J901" s="3">
        <v>114.008781</v>
      </c>
      <c r="K901" s="3">
        <v>13612.992</v>
      </c>
      <c r="L901" s="3">
        <v>17742.981</v>
      </c>
      <c r="M901" s="3">
        <v>13612.992</v>
      </c>
      <c r="N901" s="3">
        <v>13612.992</v>
      </c>
      <c r="O901" s="4">
        <v>0</v>
      </c>
      <c r="P901" s="4">
        <v>30.3386</v>
      </c>
      <c r="Q901" s="4">
        <v>0</v>
      </c>
      <c r="R901" s="5">
        <v>7.1000000000000004E-3</v>
      </c>
      <c r="S901">
        <v>32</v>
      </c>
      <c r="T901" t="b">
        <v>0</v>
      </c>
      <c r="U901">
        <v>2</v>
      </c>
      <c r="V901" s="4">
        <v>31.55</v>
      </c>
    </row>
    <row r="902" spans="1:22" hidden="1" x14ac:dyDescent="0.35">
      <c r="A902" t="s">
        <v>28</v>
      </c>
      <c r="B902">
        <v>2</v>
      </c>
      <c r="C902">
        <v>2</v>
      </c>
      <c r="D902">
        <v>5</v>
      </c>
      <c r="E902" t="s">
        <v>25</v>
      </c>
      <c r="F902">
        <v>50</v>
      </c>
      <c r="G902">
        <v>1</v>
      </c>
      <c r="H902">
        <v>20</v>
      </c>
      <c r="I902" t="s">
        <v>26</v>
      </c>
      <c r="J902" s="3">
        <v>356.87896999999998</v>
      </c>
      <c r="K902" s="3">
        <v>16621.348000000002</v>
      </c>
      <c r="L902" s="3">
        <v>17011.244999999999</v>
      </c>
      <c r="M902" s="3">
        <v>16621.348000000002</v>
      </c>
      <c r="N902" s="3">
        <v>13612.992</v>
      </c>
      <c r="O902" s="4">
        <v>22.0992</v>
      </c>
      <c r="P902" s="4">
        <v>24.9633</v>
      </c>
      <c r="Q902" s="4">
        <v>22.0992</v>
      </c>
      <c r="R902" s="5">
        <v>2.0000000000000001E-4</v>
      </c>
      <c r="S902">
        <v>2</v>
      </c>
      <c r="T902" t="b">
        <v>0</v>
      </c>
      <c r="U902">
        <v>2</v>
      </c>
      <c r="V902" s="4">
        <v>1.9</v>
      </c>
    </row>
    <row r="903" spans="1:22" hidden="1" x14ac:dyDescent="0.35">
      <c r="A903" t="s">
        <v>28</v>
      </c>
      <c r="B903">
        <v>2</v>
      </c>
      <c r="C903">
        <v>2</v>
      </c>
      <c r="D903">
        <v>5</v>
      </c>
      <c r="E903" t="s">
        <v>25</v>
      </c>
      <c r="F903">
        <v>50</v>
      </c>
      <c r="G903">
        <v>3</v>
      </c>
      <c r="H903">
        <v>20</v>
      </c>
      <c r="I903" t="s">
        <v>26</v>
      </c>
      <c r="J903" s="3">
        <v>284.49569300000002</v>
      </c>
      <c r="K903" s="3">
        <v>13932.264999999999</v>
      </c>
      <c r="L903" s="3">
        <v>16072.334000000001</v>
      </c>
      <c r="M903" s="3">
        <v>13932.264999999999</v>
      </c>
      <c r="N903" s="3">
        <v>13612.992</v>
      </c>
      <c r="O903" s="4">
        <v>2.3454000000000002</v>
      </c>
      <c r="P903" s="4">
        <v>18.066099999999999</v>
      </c>
      <c r="Q903" s="4">
        <v>2.3454000000000002</v>
      </c>
      <c r="R903" s="5">
        <v>5.0000000000000001E-4</v>
      </c>
      <c r="S903">
        <v>5</v>
      </c>
      <c r="T903" t="b">
        <v>0</v>
      </c>
      <c r="U903">
        <v>4</v>
      </c>
      <c r="V903" s="4">
        <v>4.78</v>
      </c>
    </row>
    <row r="904" spans="1:22" hidden="1" x14ac:dyDescent="0.35">
      <c r="A904" t="s">
        <v>28</v>
      </c>
      <c r="B904">
        <v>2</v>
      </c>
      <c r="C904">
        <v>2</v>
      </c>
      <c r="D904">
        <v>5</v>
      </c>
      <c r="E904" t="s">
        <v>25</v>
      </c>
      <c r="F904">
        <v>200</v>
      </c>
      <c r="G904">
        <v>1</v>
      </c>
      <c r="H904">
        <v>20</v>
      </c>
      <c r="I904" t="s">
        <v>26</v>
      </c>
      <c r="J904" s="3">
        <v>356.87896999999998</v>
      </c>
      <c r="K904" s="3">
        <v>16621.348000000002</v>
      </c>
      <c r="L904" s="3">
        <v>17011.244999999999</v>
      </c>
      <c r="M904" s="3">
        <v>16621.348000000002</v>
      </c>
      <c r="N904" s="3">
        <v>13612.992</v>
      </c>
      <c r="O904" s="4">
        <v>22.0992</v>
      </c>
      <c r="P904" s="4">
        <v>24.9633</v>
      </c>
      <c r="Q904" s="4">
        <v>22.0992</v>
      </c>
      <c r="R904" s="5">
        <v>2.0000000000000001E-4</v>
      </c>
      <c r="S904">
        <v>2</v>
      </c>
      <c r="T904" t="b">
        <v>0</v>
      </c>
      <c r="U904">
        <v>2</v>
      </c>
      <c r="V904" s="4">
        <v>1.94</v>
      </c>
    </row>
    <row r="905" spans="1:22" hidden="1" x14ac:dyDescent="0.35">
      <c r="A905" t="s">
        <v>28</v>
      </c>
      <c r="B905">
        <v>2</v>
      </c>
      <c r="C905">
        <v>2</v>
      </c>
      <c r="D905">
        <v>5</v>
      </c>
      <c r="E905" t="s">
        <v>25</v>
      </c>
      <c r="F905">
        <v>200</v>
      </c>
      <c r="G905">
        <v>3</v>
      </c>
      <c r="H905">
        <v>20</v>
      </c>
      <c r="I905" t="s">
        <v>26</v>
      </c>
      <c r="J905" s="3">
        <v>284.49569300000002</v>
      </c>
      <c r="K905" s="3">
        <v>13932.264999999999</v>
      </c>
      <c r="L905" s="3">
        <v>16072.334000000001</v>
      </c>
      <c r="M905" s="3">
        <v>13932.264999999999</v>
      </c>
      <c r="N905" s="3">
        <v>13612.992</v>
      </c>
      <c r="O905" s="4">
        <v>2.3454000000000002</v>
      </c>
      <c r="P905" s="4">
        <v>18.066099999999999</v>
      </c>
      <c r="Q905" s="4">
        <v>2.3454000000000002</v>
      </c>
      <c r="R905" s="5">
        <v>5.0000000000000001E-4</v>
      </c>
      <c r="S905">
        <v>5</v>
      </c>
      <c r="T905" t="b">
        <v>0</v>
      </c>
      <c r="U905">
        <v>4</v>
      </c>
      <c r="V905" s="4">
        <v>4.72</v>
      </c>
    </row>
    <row r="906" spans="1:22" hidden="1" x14ac:dyDescent="0.35">
      <c r="A906" t="s">
        <v>28</v>
      </c>
      <c r="B906">
        <v>2</v>
      </c>
      <c r="C906">
        <v>2</v>
      </c>
      <c r="D906">
        <v>10</v>
      </c>
      <c r="E906" t="s">
        <v>22</v>
      </c>
      <c r="F906">
        <v>50</v>
      </c>
      <c r="G906">
        <v>1</v>
      </c>
      <c r="H906">
        <v>20</v>
      </c>
      <c r="I906" t="s">
        <v>26</v>
      </c>
      <c r="J906" s="3">
        <v>229.42040700000001</v>
      </c>
      <c r="K906" s="3">
        <v>13932.264999999999</v>
      </c>
      <c r="L906" s="3">
        <v>14664.001</v>
      </c>
      <c r="M906" s="3">
        <v>13932.264999999999</v>
      </c>
      <c r="N906" s="3">
        <v>13612.992</v>
      </c>
      <c r="O906" s="4">
        <v>2.3454000000000002</v>
      </c>
      <c r="P906" s="4">
        <v>7.7206000000000001</v>
      </c>
      <c r="Q906" s="4">
        <v>2.3454000000000002</v>
      </c>
      <c r="R906" s="5">
        <v>5.4000000000000003E-3</v>
      </c>
      <c r="S906">
        <v>24</v>
      </c>
      <c r="T906" t="b">
        <v>0</v>
      </c>
      <c r="U906">
        <v>7</v>
      </c>
      <c r="V906" s="4">
        <v>10.64</v>
      </c>
    </row>
    <row r="907" spans="1:22" hidden="1" x14ac:dyDescent="0.35">
      <c r="A907" t="s">
        <v>28</v>
      </c>
      <c r="B907">
        <v>2</v>
      </c>
      <c r="C907">
        <v>2</v>
      </c>
      <c r="D907">
        <v>10</v>
      </c>
      <c r="E907" t="s">
        <v>22</v>
      </c>
      <c r="F907">
        <v>50</v>
      </c>
      <c r="G907">
        <v>3</v>
      </c>
      <c r="H907">
        <v>20</v>
      </c>
      <c r="I907" t="s">
        <v>26</v>
      </c>
      <c r="J907" s="3">
        <v>206.650677</v>
      </c>
      <c r="K907" s="3">
        <v>13612.992</v>
      </c>
      <c r="L907" s="3">
        <v>15889.611999999999</v>
      </c>
      <c r="M907" s="3">
        <v>13612.992</v>
      </c>
      <c r="N907" s="3">
        <v>13612.992</v>
      </c>
      <c r="O907" s="4">
        <v>0</v>
      </c>
      <c r="P907" s="4">
        <v>16.7239</v>
      </c>
      <c r="Q907" s="4">
        <v>0</v>
      </c>
      <c r="R907" s="5">
        <v>1.1299999999999999E-2</v>
      </c>
      <c r="S907">
        <v>36</v>
      </c>
      <c r="T907" t="b">
        <v>0</v>
      </c>
      <c r="U907">
        <v>8</v>
      </c>
      <c r="V907" s="4">
        <v>30.09</v>
      </c>
    </row>
    <row r="908" spans="1:22" hidden="1" x14ac:dyDescent="0.35">
      <c r="A908" t="s">
        <v>28</v>
      </c>
      <c r="B908">
        <v>2</v>
      </c>
      <c r="C908">
        <v>2</v>
      </c>
      <c r="D908">
        <v>10</v>
      </c>
      <c r="E908" t="s">
        <v>22</v>
      </c>
      <c r="F908">
        <v>200</v>
      </c>
      <c r="G908">
        <v>1</v>
      </c>
      <c r="H908">
        <v>20</v>
      </c>
      <c r="I908" t="s">
        <v>26</v>
      </c>
      <c r="J908" s="3">
        <v>229.42040700000001</v>
      </c>
      <c r="K908" s="3">
        <v>13932.264999999999</v>
      </c>
      <c r="L908" s="3">
        <v>14664.001</v>
      </c>
      <c r="M908" s="3">
        <v>13932.264999999999</v>
      </c>
      <c r="N908" s="3">
        <v>13612.992</v>
      </c>
      <c r="O908" s="4">
        <v>2.3454000000000002</v>
      </c>
      <c r="P908" s="4">
        <v>7.7206000000000001</v>
      </c>
      <c r="Q908" s="4">
        <v>2.3454000000000002</v>
      </c>
      <c r="R908" s="5">
        <v>5.4000000000000003E-3</v>
      </c>
      <c r="S908">
        <v>24</v>
      </c>
      <c r="T908" t="b">
        <v>0</v>
      </c>
      <c r="U908">
        <v>7</v>
      </c>
      <c r="V908" s="4">
        <v>10.71</v>
      </c>
    </row>
    <row r="909" spans="1:22" hidden="1" x14ac:dyDescent="0.35">
      <c r="A909" t="s">
        <v>28</v>
      </c>
      <c r="B909">
        <v>2</v>
      </c>
      <c r="C909">
        <v>2</v>
      </c>
      <c r="D909">
        <v>10</v>
      </c>
      <c r="E909" t="s">
        <v>22</v>
      </c>
      <c r="F909">
        <v>200</v>
      </c>
      <c r="G909">
        <v>3</v>
      </c>
      <c r="H909">
        <v>20</v>
      </c>
      <c r="I909" t="s">
        <v>26</v>
      </c>
      <c r="J909" s="3">
        <v>206.650677</v>
      </c>
      <c r="K909" s="3">
        <v>13612.992</v>
      </c>
      <c r="L909" s="3">
        <v>15889.611999999999</v>
      </c>
      <c r="M909" s="3">
        <v>13612.992</v>
      </c>
      <c r="N909" s="3">
        <v>13612.992</v>
      </c>
      <c r="O909" s="4">
        <v>0</v>
      </c>
      <c r="P909" s="4">
        <v>16.7239</v>
      </c>
      <c r="Q909" s="4">
        <v>0</v>
      </c>
      <c r="R909" s="5">
        <v>1.1299999999999999E-2</v>
      </c>
      <c r="S909">
        <v>36</v>
      </c>
      <c r="T909" t="b">
        <v>0</v>
      </c>
      <c r="U909">
        <v>8</v>
      </c>
      <c r="V909" s="4">
        <v>30.06</v>
      </c>
    </row>
    <row r="910" spans="1:22" hidden="1" x14ac:dyDescent="0.35">
      <c r="A910" t="s">
        <v>28</v>
      </c>
      <c r="B910">
        <v>2</v>
      </c>
      <c r="C910">
        <v>2</v>
      </c>
      <c r="D910">
        <v>10</v>
      </c>
      <c r="E910" t="s">
        <v>25</v>
      </c>
      <c r="F910">
        <v>50</v>
      </c>
      <c r="G910">
        <v>1</v>
      </c>
      <c r="H910">
        <v>20</v>
      </c>
      <c r="I910" t="s">
        <v>26</v>
      </c>
      <c r="J910" s="3">
        <v>717.37902899999995</v>
      </c>
      <c r="K910" s="3">
        <v>16621.348000000002</v>
      </c>
      <c r="L910" s="3">
        <v>17560.258999999998</v>
      </c>
      <c r="M910" s="3">
        <v>16621.348000000002</v>
      </c>
      <c r="N910" s="3">
        <v>13612.992</v>
      </c>
      <c r="O910" s="4">
        <v>22.0992</v>
      </c>
      <c r="P910" s="4">
        <v>28.996300000000002</v>
      </c>
      <c r="Q910" s="4">
        <v>22.0992</v>
      </c>
      <c r="R910" s="5">
        <v>2.9999999999999997E-4</v>
      </c>
      <c r="S910">
        <v>3</v>
      </c>
      <c r="T910" t="b">
        <v>0</v>
      </c>
      <c r="U910">
        <v>3</v>
      </c>
      <c r="V910" s="4">
        <v>1.93</v>
      </c>
    </row>
    <row r="911" spans="1:22" hidden="1" x14ac:dyDescent="0.35">
      <c r="A911" t="s">
        <v>28</v>
      </c>
      <c r="B911">
        <v>2</v>
      </c>
      <c r="C911">
        <v>2</v>
      </c>
      <c r="D911">
        <v>10</v>
      </c>
      <c r="E911" t="s">
        <v>25</v>
      </c>
      <c r="F911">
        <v>50</v>
      </c>
      <c r="G911">
        <v>3</v>
      </c>
      <c r="H911">
        <v>20</v>
      </c>
      <c r="I911" t="s">
        <v>26</v>
      </c>
      <c r="J911" s="3">
        <v>550.81018200000005</v>
      </c>
      <c r="K911" s="3">
        <v>13932.264999999999</v>
      </c>
      <c r="L911" s="3">
        <v>13932.264999999999</v>
      </c>
      <c r="M911" s="3">
        <v>13932.264999999999</v>
      </c>
      <c r="N911" s="3">
        <v>13612.992</v>
      </c>
      <c r="O911" s="4">
        <v>2.3454000000000002</v>
      </c>
      <c r="P911" s="4">
        <v>2.3454000000000002</v>
      </c>
      <c r="Q911" s="4">
        <v>2.3454000000000002</v>
      </c>
      <c r="R911" s="5">
        <v>2.0000000000000001E-4</v>
      </c>
      <c r="S911">
        <v>2</v>
      </c>
      <c r="T911" t="b">
        <v>0</v>
      </c>
      <c r="U911">
        <v>1</v>
      </c>
      <c r="V911" s="4">
        <v>4.68</v>
      </c>
    </row>
    <row r="912" spans="1:22" hidden="1" x14ac:dyDescent="0.35">
      <c r="A912" t="s">
        <v>28</v>
      </c>
      <c r="B912">
        <v>2</v>
      </c>
      <c r="C912">
        <v>2</v>
      </c>
      <c r="D912">
        <v>10</v>
      </c>
      <c r="E912" t="s">
        <v>25</v>
      </c>
      <c r="F912">
        <v>200</v>
      </c>
      <c r="G912">
        <v>1</v>
      </c>
      <c r="H912">
        <v>20</v>
      </c>
      <c r="I912" t="s">
        <v>26</v>
      </c>
      <c r="J912" s="3">
        <v>717.37902899999995</v>
      </c>
      <c r="K912" s="3">
        <v>16621.348000000002</v>
      </c>
      <c r="L912" s="3">
        <v>17560.258999999998</v>
      </c>
      <c r="M912" s="3">
        <v>16621.348000000002</v>
      </c>
      <c r="N912" s="3">
        <v>13612.992</v>
      </c>
      <c r="O912" s="4">
        <v>22.0992</v>
      </c>
      <c r="P912" s="4">
        <v>28.996300000000002</v>
      </c>
      <c r="Q912" s="4">
        <v>22.0992</v>
      </c>
      <c r="R912" s="5">
        <v>2.9999999999999997E-4</v>
      </c>
      <c r="S912">
        <v>3</v>
      </c>
      <c r="T912" t="b">
        <v>0</v>
      </c>
      <c r="U912">
        <v>3</v>
      </c>
      <c r="V912" s="4">
        <v>1.97</v>
      </c>
    </row>
    <row r="913" spans="1:22" hidden="1" x14ac:dyDescent="0.35">
      <c r="A913" t="s">
        <v>28</v>
      </c>
      <c r="B913">
        <v>2</v>
      </c>
      <c r="C913">
        <v>2</v>
      </c>
      <c r="D913">
        <v>10</v>
      </c>
      <c r="E913" t="s">
        <v>25</v>
      </c>
      <c r="F913">
        <v>200</v>
      </c>
      <c r="G913">
        <v>3</v>
      </c>
      <c r="H913">
        <v>20</v>
      </c>
      <c r="I913" t="s">
        <v>26</v>
      </c>
      <c r="J913" s="3">
        <v>550.81018200000005</v>
      </c>
      <c r="K913" s="3">
        <v>13932.264999999999</v>
      </c>
      <c r="L913" s="3">
        <v>13932.264999999999</v>
      </c>
      <c r="M913" s="3">
        <v>13932.264999999999</v>
      </c>
      <c r="N913" s="3">
        <v>13612.992</v>
      </c>
      <c r="O913" s="4">
        <v>2.3454000000000002</v>
      </c>
      <c r="P913" s="4">
        <v>2.3454000000000002</v>
      </c>
      <c r="Q913" s="4">
        <v>2.3454000000000002</v>
      </c>
      <c r="R913" s="5">
        <v>2.0000000000000001E-4</v>
      </c>
      <c r="S913">
        <v>2</v>
      </c>
      <c r="T913" t="b">
        <v>0</v>
      </c>
      <c r="U913">
        <v>1</v>
      </c>
      <c r="V913" s="4">
        <v>4.7699999999999996</v>
      </c>
    </row>
    <row r="914" spans="1:22" hidden="1" x14ac:dyDescent="0.35">
      <c r="A914" t="s">
        <v>28</v>
      </c>
      <c r="B914">
        <v>2</v>
      </c>
      <c r="C914">
        <v>3</v>
      </c>
      <c r="D914">
        <v>2</v>
      </c>
      <c r="E914" t="s">
        <v>22</v>
      </c>
      <c r="F914">
        <v>50</v>
      </c>
      <c r="G914">
        <v>1</v>
      </c>
      <c r="H914">
        <v>20</v>
      </c>
      <c r="I914" t="s">
        <v>26</v>
      </c>
      <c r="J914" s="3">
        <v>49.739179999999998</v>
      </c>
      <c r="K914" s="3">
        <v>13612.992</v>
      </c>
      <c r="L914" s="3">
        <v>13612.992</v>
      </c>
      <c r="M914" s="3">
        <v>13612.992</v>
      </c>
      <c r="N914" s="3">
        <v>13612.992</v>
      </c>
      <c r="O914" s="4">
        <v>0</v>
      </c>
      <c r="P914" s="4">
        <v>0</v>
      </c>
      <c r="Q914" s="4">
        <v>0</v>
      </c>
      <c r="R914" s="5">
        <v>2.7000000000000001E-3</v>
      </c>
      <c r="S914">
        <v>18</v>
      </c>
      <c r="T914" t="b">
        <v>0</v>
      </c>
      <c r="U914">
        <v>1</v>
      </c>
      <c r="V914" s="4">
        <v>15.15</v>
      </c>
    </row>
    <row r="915" spans="1:22" hidden="1" x14ac:dyDescent="0.35">
      <c r="A915" t="s">
        <v>28</v>
      </c>
      <c r="B915">
        <v>2</v>
      </c>
      <c r="C915">
        <v>3</v>
      </c>
      <c r="D915">
        <v>2</v>
      </c>
      <c r="E915" t="s">
        <v>22</v>
      </c>
      <c r="F915">
        <v>50</v>
      </c>
      <c r="G915">
        <v>3</v>
      </c>
      <c r="H915">
        <v>20</v>
      </c>
      <c r="I915" t="s">
        <v>26</v>
      </c>
      <c r="J915" s="3">
        <v>49.739179999999998</v>
      </c>
      <c r="K915" s="3">
        <v>13612.992</v>
      </c>
      <c r="L915" s="3">
        <v>13612.992</v>
      </c>
      <c r="M915" s="3">
        <v>13612.992</v>
      </c>
      <c r="N915" s="3">
        <v>13612.992</v>
      </c>
      <c r="O915" s="4">
        <v>0</v>
      </c>
      <c r="P915" s="4">
        <v>0</v>
      </c>
      <c r="Q915" s="4">
        <v>0</v>
      </c>
      <c r="R915" s="5">
        <v>2.7000000000000001E-3</v>
      </c>
      <c r="S915">
        <v>18</v>
      </c>
      <c r="T915" t="b">
        <v>0</v>
      </c>
      <c r="U915">
        <v>1</v>
      </c>
      <c r="V915" s="4">
        <v>44.81</v>
      </c>
    </row>
    <row r="916" spans="1:22" hidden="1" x14ac:dyDescent="0.35">
      <c r="A916" t="s">
        <v>28</v>
      </c>
      <c r="B916">
        <v>2</v>
      </c>
      <c r="C916">
        <v>3</v>
      </c>
      <c r="D916">
        <v>2</v>
      </c>
      <c r="E916" t="s">
        <v>22</v>
      </c>
      <c r="F916">
        <v>200</v>
      </c>
      <c r="G916">
        <v>1</v>
      </c>
      <c r="H916">
        <v>20</v>
      </c>
      <c r="I916" t="s">
        <v>26</v>
      </c>
      <c r="J916" s="3">
        <v>47.976438999999999</v>
      </c>
      <c r="K916" s="3">
        <v>13932.264999999999</v>
      </c>
      <c r="L916" s="3">
        <v>17011.244999999999</v>
      </c>
      <c r="M916" s="3">
        <v>13932.264999999999</v>
      </c>
      <c r="N916" s="3">
        <v>13612.992</v>
      </c>
      <c r="O916" s="4">
        <v>2.3454000000000002</v>
      </c>
      <c r="P916" s="4">
        <v>24.9633</v>
      </c>
      <c r="Q916" s="4">
        <v>2.3454000000000002</v>
      </c>
      <c r="R916" s="5">
        <v>2.7000000000000001E-3</v>
      </c>
      <c r="S916">
        <v>17</v>
      </c>
      <c r="T916" t="b">
        <v>0</v>
      </c>
      <c r="U916">
        <v>10</v>
      </c>
      <c r="V916" s="4">
        <v>25.4</v>
      </c>
    </row>
    <row r="917" spans="1:22" hidden="1" x14ac:dyDescent="0.35">
      <c r="A917" t="s">
        <v>28</v>
      </c>
      <c r="B917">
        <v>2</v>
      </c>
      <c r="C917">
        <v>3</v>
      </c>
      <c r="D917">
        <v>2</v>
      </c>
      <c r="E917" t="s">
        <v>22</v>
      </c>
      <c r="F917">
        <v>200</v>
      </c>
      <c r="G917">
        <v>3</v>
      </c>
      <c r="H917">
        <v>20</v>
      </c>
      <c r="I917" t="s">
        <v>26</v>
      </c>
      <c r="J917" s="3">
        <v>47.976438999999999</v>
      </c>
      <c r="K917" s="3">
        <v>13932.264999999999</v>
      </c>
      <c r="L917" s="3">
        <v>17011.244999999999</v>
      </c>
      <c r="M917" s="3">
        <v>13932.264999999999</v>
      </c>
      <c r="N917" s="3">
        <v>13612.992</v>
      </c>
      <c r="O917" s="4">
        <v>2.3454000000000002</v>
      </c>
      <c r="P917" s="4">
        <v>24.9633</v>
      </c>
      <c r="Q917" s="4">
        <v>2.3454000000000002</v>
      </c>
      <c r="R917" s="5">
        <v>2.7000000000000001E-3</v>
      </c>
      <c r="S917">
        <v>17</v>
      </c>
      <c r="T917" t="b">
        <v>0</v>
      </c>
      <c r="U917">
        <v>10</v>
      </c>
      <c r="V917" s="4">
        <v>60.37</v>
      </c>
    </row>
    <row r="918" spans="1:22" hidden="1" x14ac:dyDescent="0.35">
      <c r="A918" t="s">
        <v>28</v>
      </c>
      <c r="B918">
        <v>2</v>
      </c>
      <c r="C918">
        <v>3</v>
      </c>
      <c r="D918">
        <v>2</v>
      </c>
      <c r="E918" t="s">
        <v>25</v>
      </c>
      <c r="F918">
        <v>50</v>
      </c>
      <c r="G918">
        <v>1</v>
      </c>
      <c r="H918">
        <v>20</v>
      </c>
      <c r="I918" t="s">
        <v>26</v>
      </c>
      <c r="J918" s="3">
        <v>154.99721600000001</v>
      </c>
      <c r="K918" s="3">
        <v>13612.992</v>
      </c>
      <c r="L918" s="3">
        <v>17560.258999999998</v>
      </c>
      <c r="M918" s="3">
        <v>13612.992</v>
      </c>
      <c r="N918" s="3">
        <v>13612.992</v>
      </c>
      <c r="O918" s="4">
        <v>0</v>
      </c>
      <c r="P918" s="4">
        <v>28.996300000000002</v>
      </c>
      <c r="Q918" s="4">
        <v>0</v>
      </c>
      <c r="R918" s="5">
        <v>2.0000000000000001E-4</v>
      </c>
      <c r="S918">
        <v>2</v>
      </c>
      <c r="T918" t="b">
        <v>0</v>
      </c>
      <c r="U918">
        <v>2</v>
      </c>
      <c r="V918" s="4">
        <v>2.95</v>
      </c>
    </row>
    <row r="919" spans="1:22" hidden="1" x14ac:dyDescent="0.35">
      <c r="A919" t="s">
        <v>28</v>
      </c>
      <c r="B919">
        <v>2</v>
      </c>
      <c r="C919">
        <v>3</v>
      </c>
      <c r="D919">
        <v>2</v>
      </c>
      <c r="E919" t="s">
        <v>25</v>
      </c>
      <c r="F919">
        <v>50</v>
      </c>
      <c r="G919">
        <v>3</v>
      </c>
      <c r="H919">
        <v>20</v>
      </c>
      <c r="I919" t="s">
        <v>26</v>
      </c>
      <c r="J919" s="3">
        <v>151.527083</v>
      </c>
      <c r="K919" s="3">
        <v>13612.992</v>
      </c>
      <c r="L919" s="3">
        <v>13612.992</v>
      </c>
      <c r="M919" s="3">
        <v>13612.992</v>
      </c>
      <c r="N919" s="3">
        <v>13612.992</v>
      </c>
      <c r="O919" s="4">
        <v>0</v>
      </c>
      <c r="P919" s="4">
        <v>0</v>
      </c>
      <c r="Q919" s="4">
        <v>0</v>
      </c>
      <c r="R919" s="5">
        <v>2.0000000000000001E-4</v>
      </c>
      <c r="S919">
        <v>2</v>
      </c>
      <c r="T919" t="b">
        <v>0</v>
      </c>
      <c r="U919">
        <v>1</v>
      </c>
      <c r="V919" s="4">
        <v>7.52</v>
      </c>
    </row>
    <row r="920" spans="1:22" hidden="1" x14ac:dyDescent="0.35">
      <c r="A920" t="s">
        <v>28</v>
      </c>
      <c r="B920">
        <v>2</v>
      </c>
      <c r="C920">
        <v>3</v>
      </c>
      <c r="D920">
        <v>2</v>
      </c>
      <c r="E920" t="s">
        <v>25</v>
      </c>
      <c r="F920">
        <v>200</v>
      </c>
      <c r="G920">
        <v>1</v>
      </c>
      <c r="H920">
        <v>20</v>
      </c>
      <c r="I920" t="s">
        <v>26</v>
      </c>
      <c r="J920" s="3">
        <v>154.99721600000001</v>
      </c>
      <c r="K920" s="3">
        <v>13612.992</v>
      </c>
      <c r="L920" s="3">
        <v>17560.258999999998</v>
      </c>
      <c r="M920" s="3">
        <v>13612.992</v>
      </c>
      <c r="N920" s="3">
        <v>13612.992</v>
      </c>
      <c r="O920" s="4">
        <v>0</v>
      </c>
      <c r="P920" s="4">
        <v>28.996300000000002</v>
      </c>
      <c r="Q920" s="4">
        <v>0</v>
      </c>
      <c r="R920" s="5">
        <v>2.0000000000000001E-4</v>
      </c>
      <c r="S920">
        <v>2</v>
      </c>
      <c r="T920" t="b">
        <v>0</v>
      </c>
      <c r="U920">
        <v>2</v>
      </c>
      <c r="V920" s="4">
        <v>2.94</v>
      </c>
    </row>
    <row r="921" spans="1:22" hidden="1" x14ac:dyDescent="0.35">
      <c r="A921" t="s">
        <v>28</v>
      </c>
      <c r="B921">
        <v>2</v>
      </c>
      <c r="C921">
        <v>3</v>
      </c>
      <c r="D921">
        <v>2</v>
      </c>
      <c r="E921" t="s">
        <v>25</v>
      </c>
      <c r="F921">
        <v>200</v>
      </c>
      <c r="G921">
        <v>3</v>
      </c>
      <c r="H921">
        <v>20</v>
      </c>
      <c r="I921" t="s">
        <v>26</v>
      </c>
      <c r="J921" s="3">
        <v>151.527083</v>
      </c>
      <c r="K921" s="3">
        <v>13612.992</v>
      </c>
      <c r="L921" s="3">
        <v>13612.992</v>
      </c>
      <c r="M921" s="3">
        <v>13612.992</v>
      </c>
      <c r="N921" s="3">
        <v>13612.992</v>
      </c>
      <c r="O921" s="4">
        <v>0</v>
      </c>
      <c r="P921" s="4">
        <v>0</v>
      </c>
      <c r="Q921" s="4">
        <v>0</v>
      </c>
      <c r="R921" s="5">
        <v>2.0000000000000001E-4</v>
      </c>
      <c r="S921">
        <v>2</v>
      </c>
      <c r="T921" t="b">
        <v>0</v>
      </c>
      <c r="U921">
        <v>1</v>
      </c>
      <c r="V921" s="4">
        <v>7.61</v>
      </c>
    </row>
    <row r="922" spans="1:22" hidden="1" x14ac:dyDescent="0.35">
      <c r="A922" t="s">
        <v>28</v>
      </c>
      <c r="B922">
        <v>2</v>
      </c>
      <c r="C922">
        <v>3</v>
      </c>
      <c r="D922">
        <v>5</v>
      </c>
      <c r="E922" t="s">
        <v>22</v>
      </c>
      <c r="F922">
        <v>50</v>
      </c>
      <c r="G922">
        <v>1</v>
      </c>
      <c r="H922">
        <v>20</v>
      </c>
      <c r="I922" t="s">
        <v>26</v>
      </c>
      <c r="J922" s="3">
        <v>193.80918600000001</v>
      </c>
      <c r="K922" s="3">
        <v>15021.325000000001</v>
      </c>
      <c r="L922" s="3">
        <v>15021.325000000001</v>
      </c>
      <c r="M922" s="3">
        <v>15021.325000000001</v>
      </c>
      <c r="N922" s="3">
        <v>13612.992</v>
      </c>
      <c r="O922" s="4">
        <v>10.345499999999999</v>
      </c>
      <c r="P922" s="4">
        <v>10.345499999999999</v>
      </c>
      <c r="Q922" s="4">
        <v>10.345499999999999</v>
      </c>
      <c r="R922" s="5">
        <v>1E-4</v>
      </c>
      <c r="S922">
        <v>1</v>
      </c>
      <c r="T922" t="b">
        <v>0</v>
      </c>
      <c r="U922">
        <v>1</v>
      </c>
      <c r="V922" s="4">
        <v>15.37</v>
      </c>
    </row>
    <row r="923" spans="1:22" hidden="1" x14ac:dyDescent="0.35">
      <c r="A923" t="s">
        <v>28</v>
      </c>
      <c r="B923">
        <v>2</v>
      </c>
      <c r="C923">
        <v>3</v>
      </c>
      <c r="D923">
        <v>5</v>
      </c>
      <c r="E923" t="s">
        <v>22</v>
      </c>
      <c r="F923">
        <v>50</v>
      </c>
      <c r="G923">
        <v>3</v>
      </c>
      <c r="H923">
        <v>20</v>
      </c>
      <c r="I923" t="s">
        <v>26</v>
      </c>
      <c r="J923" s="3">
        <v>193.80918600000001</v>
      </c>
      <c r="K923" s="3">
        <v>15021.325000000001</v>
      </c>
      <c r="L923" s="3">
        <v>15021.325000000001</v>
      </c>
      <c r="M923" s="3">
        <v>15021.325000000001</v>
      </c>
      <c r="N923" s="3">
        <v>13612.992</v>
      </c>
      <c r="O923" s="4">
        <v>10.345499999999999</v>
      </c>
      <c r="P923" s="4">
        <v>10.345499999999999</v>
      </c>
      <c r="Q923" s="4">
        <v>10.345499999999999</v>
      </c>
      <c r="R923" s="5">
        <v>1E-4</v>
      </c>
      <c r="S923">
        <v>1</v>
      </c>
      <c r="T923" t="b">
        <v>0</v>
      </c>
      <c r="U923">
        <v>1</v>
      </c>
      <c r="V923" s="4">
        <v>44.99</v>
      </c>
    </row>
    <row r="924" spans="1:22" hidden="1" x14ac:dyDescent="0.35">
      <c r="A924" t="s">
        <v>28</v>
      </c>
      <c r="B924">
        <v>2</v>
      </c>
      <c r="C924">
        <v>3</v>
      </c>
      <c r="D924">
        <v>5</v>
      </c>
      <c r="E924" t="s">
        <v>22</v>
      </c>
      <c r="F924">
        <v>200</v>
      </c>
      <c r="G924">
        <v>1</v>
      </c>
      <c r="H924">
        <v>20</v>
      </c>
      <c r="I924" t="s">
        <v>26</v>
      </c>
      <c r="J924" s="3">
        <v>192.108822</v>
      </c>
      <c r="K924" s="3">
        <v>15021.325000000001</v>
      </c>
      <c r="L924" s="3">
        <v>15021.325000000001</v>
      </c>
      <c r="M924" s="3">
        <v>15021.325000000001</v>
      </c>
      <c r="N924" s="3">
        <v>13612.992</v>
      </c>
      <c r="O924" s="4">
        <v>10.345499999999999</v>
      </c>
      <c r="P924" s="4">
        <v>10.345499999999999</v>
      </c>
      <c r="Q924" s="4">
        <v>10.345499999999999</v>
      </c>
      <c r="R924" s="5">
        <v>2.0000000000000001E-4</v>
      </c>
      <c r="S924">
        <v>2</v>
      </c>
      <c r="T924" t="b">
        <v>0</v>
      </c>
      <c r="U924">
        <v>1</v>
      </c>
      <c r="V924" s="4">
        <v>23.62</v>
      </c>
    </row>
    <row r="925" spans="1:22" hidden="1" x14ac:dyDescent="0.35">
      <c r="A925" t="s">
        <v>28</v>
      </c>
      <c r="B925">
        <v>2</v>
      </c>
      <c r="C925">
        <v>3</v>
      </c>
      <c r="D925">
        <v>5</v>
      </c>
      <c r="E925" t="s">
        <v>22</v>
      </c>
      <c r="F925">
        <v>200</v>
      </c>
      <c r="G925">
        <v>3</v>
      </c>
      <c r="H925">
        <v>20</v>
      </c>
      <c r="I925" t="s">
        <v>26</v>
      </c>
      <c r="J925" s="3">
        <v>192.108822</v>
      </c>
      <c r="K925" s="3">
        <v>15021.325000000001</v>
      </c>
      <c r="L925" s="3">
        <v>15021.325000000001</v>
      </c>
      <c r="M925" s="3">
        <v>15021.325000000001</v>
      </c>
      <c r="N925" s="3">
        <v>13612.992</v>
      </c>
      <c r="O925" s="4">
        <v>10.345499999999999</v>
      </c>
      <c r="P925" s="4">
        <v>10.345499999999999</v>
      </c>
      <c r="Q925" s="4">
        <v>10.345499999999999</v>
      </c>
      <c r="R925" s="5">
        <v>2.0000000000000001E-4</v>
      </c>
      <c r="S925">
        <v>2</v>
      </c>
      <c r="T925" t="b">
        <v>0</v>
      </c>
      <c r="U925">
        <v>1</v>
      </c>
      <c r="V925" s="4">
        <v>54.75</v>
      </c>
    </row>
    <row r="926" spans="1:22" hidden="1" x14ac:dyDescent="0.35">
      <c r="A926" t="s">
        <v>28</v>
      </c>
      <c r="B926">
        <v>2</v>
      </c>
      <c r="C926">
        <v>3</v>
      </c>
      <c r="D926">
        <v>5</v>
      </c>
      <c r="E926" t="s">
        <v>25</v>
      </c>
      <c r="F926">
        <v>50</v>
      </c>
      <c r="G926">
        <v>1</v>
      </c>
      <c r="H926">
        <v>20</v>
      </c>
      <c r="I926" t="s">
        <v>26</v>
      </c>
      <c r="J926" s="3">
        <v>376.95467300000001</v>
      </c>
      <c r="K926" s="3">
        <v>13612.992</v>
      </c>
      <c r="L926" s="3">
        <v>13612.992</v>
      </c>
      <c r="M926" s="3">
        <v>13612.992</v>
      </c>
      <c r="N926" s="3">
        <v>13612.992</v>
      </c>
      <c r="O926" s="4">
        <v>0</v>
      </c>
      <c r="P926" s="4">
        <v>0</v>
      </c>
      <c r="Q926" s="4">
        <v>0</v>
      </c>
      <c r="R926" s="5">
        <v>1E-4</v>
      </c>
      <c r="S926">
        <v>1</v>
      </c>
      <c r="T926" t="b">
        <v>0</v>
      </c>
      <c r="U926">
        <v>1</v>
      </c>
      <c r="V926" s="4">
        <v>2.89</v>
      </c>
    </row>
    <row r="927" spans="1:22" hidden="1" x14ac:dyDescent="0.35">
      <c r="A927" t="s">
        <v>28</v>
      </c>
      <c r="B927">
        <v>2</v>
      </c>
      <c r="C927">
        <v>3</v>
      </c>
      <c r="D927">
        <v>5</v>
      </c>
      <c r="E927" t="s">
        <v>25</v>
      </c>
      <c r="F927">
        <v>50</v>
      </c>
      <c r="G927">
        <v>3</v>
      </c>
      <c r="H927">
        <v>20</v>
      </c>
      <c r="I927" t="s">
        <v>26</v>
      </c>
      <c r="J927" s="3">
        <v>374.56786</v>
      </c>
      <c r="K927" s="3">
        <v>15602.912</v>
      </c>
      <c r="L927" s="3">
        <v>15602.912</v>
      </c>
      <c r="M927" s="3">
        <v>15602.912</v>
      </c>
      <c r="N927" s="3">
        <v>13612.992</v>
      </c>
      <c r="O927" s="4">
        <v>14.617800000000001</v>
      </c>
      <c r="P927" s="4">
        <v>14.617800000000001</v>
      </c>
      <c r="Q927" s="4">
        <v>14.617800000000001</v>
      </c>
      <c r="R927" s="5">
        <v>1E-4</v>
      </c>
      <c r="S927">
        <v>1</v>
      </c>
      <c r="T927" t="b">
        <v>0</v>
      </c>
      <c r="U927">
        <v>1</v>
      </c>
      <c r="V927" s="4">
        <v>7.89</v>
      </c>
    </row>
    <row r="928" spans="1:22" hidden="1" x14ac:dyDescent="0.35">
      <c r="A928" t="s">
        <v>28</v>
      </c>
      <c r="B928">
        <v>2</v>
      </c>
      <c r="C928">
        <v>3</v>
      </c>
      <c r="D928">
        <v>5</v>
      </c>
      <c r="E928" t="s">
        <v>25</v>
      </c>
      <c r="F928">
        <v>200</v>
      </c>
      <c r="G928">
        <v>1</v>
      </c>
      <c r="H928">
        <v>20</v>
      </c>
      <c r="I928" t="s">
        <v>26</v>
      </c>
      <c r="J928" s="3">
        <v>376.95467300000001</v>
      </c>
      <c r="K928" s="3">
        <v>13612.992</v>
      </c>
      <c r="L928" s="3">
        <v>13612.992</v>
      </c>
      <c r="M928" s="3">
        <v>13612.992</v>
      </c>
      <c r="N928" s="3">
        <v>13612.992</v>
      </c>
      <c r="O928" s="4">
        <v>0</v>
      </c>
      <c r="P928" s="4">
        <v>0</v>
      </c>
      <c r="Q928" s="4">
        <v>0</v>
      </c>
      <c r="R928" s="5">
        <v>1E-4</v>
      </c>
      <c r="S928">
        <v>1</v>
      </c>
      <c r="T928" t="b">
        <v>0</v>
      </c>
      <c r="U928">
        <v>1</v>
      </c>
      <c r="V928" s="4">
        <v>2.97</v>
      </c>
    </row>
    <row r="929" spans="1:22" hidden="1" x14ac:dyDescent="0.35">
      <c r="A929" t="s">
        <v>28</v>
      </c>
      <c r="B929">
        <v>2</v>
      </c>
      <c r="C929">
        <v>3</v>
      </c>
      <c r="D929">
        <v>5</v>
      </c>
      <c r="E929" t="s">
        <v>25</v>
      </c>
      <c r="F929">
        <v>200</v>
      </c>
      <c r="G929">
        <v>3</v>
      </c>
      <c r="H929">
        <v>20</v>
      </c>
      <c r="I929" t="s">
        <v>26</v>
      </c>
      <c r="J929" s="3">
        <v>374.56786</v>
      </c>
      <c r="K929" s="3">
        <v>15602.912</v>
      </c>
      <c r="L929" s="3">
        <v>15602.912</v>
      </c>
      <c r="M929" s="3">
        <v>15602.912</v>
      </c>
      <c r="N929" s="3">
        <v>13612.992</v>
      </c>
      <c r="O929" s="4">
        <v>14.617800000000001</v>
      </c>
      <c r="P929" s="4">
        <v>14.617800000000001</v>
      </c>
      <c r="Q929" s="4">
        <v>14.617800000000001</v>
      </c>
      <c r="R929" s="5">
        <v>1E-4</v>
      </c>
      <c r="S929">
        <v>1</v>
      </c>
      <c r="T929" t="b">
        <v>0</v>
      </c>
      <c r="U929">
        <v>1</v>
      </c>
      <c r="V929" s="4">
        <v>7.58</v>
      </c>
    </row>
    <row r="930" spans="1:22" hidden="1" x14ac:dyDescent="0.35">
      <c r="A930" t="s">
        <v>28</v>
      </c>
      <c r="B930">
        <v>2</v>
      </c>
      <c r="C930">
        <v>3</v>
      </c>
      <c r="D930">
        <v>10</v>
      </c>
      <c r="E930" t="s">
        <v>22</v>
      </c>
      <c r="F930">
        <v>50</v>
      </c>
      <c r="G930">
        <v>1</v>
      </c>
      <c r="H930">
        <v>20</v>
      </c>
      <c r="I930" t="s">
        <v>26</v>
      </c>
      <c r="J930" s="3">
        <v>214.36295899999999</v>
      </c>
      <c r="K930" s="3">
        <v>13612.992</v>
      </c>
      <c r="L930" s="3">
        <v>17742.981</v>
      </c>
      <c r="M930" s="3">
        <v>13612.992</v>
      </c>
      <c r="N930" s="3">
        <v>13612.992</v>
      </c>
      <c r="O930" s="4">
        <v>0</v>
      </c>
      <c r="P930" s="4">
        <v>30.3386</v>
      </c>
      <c r="Q930" s="4">
        <v>0</v>
      </c>
      <c r="R930" s="5">
        <v>9.4000000000000004E-3</v>
      </c>
      <c r="S930">
        <v>33</v>
      </c>
      <c r="T930" t="b">
        <v>0</v>
      </c>
      <c r="U930">
        <v>5</v>
      </c>
      <c r="V930" s="4">
        <v>15.79</v>
      </c>
    </row>
    <row r="931" spans="1:22" hidden="1" x14ac:dyDescent="0.35">
      <c r="A931" t="s">
        <v>28</v>
      </c>
      <c r="B931">
        <v>2</v>
      </c>
      <c r="C931">
        <v>3</v>
      </c>
      <c r="D931">
        <v>10</v>
      </c>
      <c r="E931" t="s">
        <v>22</v>
      </c>
      <c r="F931">
        <v>50</v>
      </c>
      <c r="G931">
        <v>3</v>
      </c>
      <c r="H931">
        <v>20</v>
      </c>
      <c r="I931" t="s">
        <v>26</v>
      </c>
      <c r="J931" s="3">
        <v>214.36295899999999</v>
      </c>
      <c r="K931" s="3">
        <v>13612.992</v>
      </c>
      <c r="L931" s="3">
        <v>17742.981</v>
      </c>
      <c r="M931" s="3">
        <v>13612.992</v>
      </c>
      <c r="N931" s="3">
        <v>13612.992</v>
      </c>
      <c r="O931" s="4">
        <v>0</v>
      </c>
      <c r="P931" s="4">
        <v>30.3386</v>
      </c>
      <c r="Q931" s="4">
        <v>0</v>
      </c>
      <c r="R931" s="5">
        <v>9.4000000000000004E-3</v>
      </c>
      <c r="S931">
        <v>33</v>
      </c>
      <c r="T931" t="b">
        <v>0</v>
      </c>
      <c r="U931">
        <v>5</v>
      </c>
      <c r="V931" s="4">
        <v>45.14</v>
      </c>
    </row>
    <row r="932" spans="1:22" hidden="1" x14ac:dyDescent="0.35">
      <c r="A932" t="s">
        <v>28</v>
      </c>
      <c r="B932">
        <v>2</v>
      </c>
      <c r="C932">
        <v>3</v>
      </c>
      <c r="D932">
        <v>10</v>
      </c>
      <c r="E932" t="s">
        <v>22</v>
      </c>
      <c r="F932">
        <v>200</v>
      </c>
      <c r="G932">
        <v>1</v>
      </c>
      <c r="H932">
        <v>20</v>
      </c>
      <c r="I932" t="s">
        <v>26</v>
      </c>
      <c r="J932" s="3">
        <v>213.23763600000001</v>
      </c>
      <c r="K932" s="3">
        <v>13612.992</v>
      </c>
      <c r="L932" s="3">
        <v>15602.912</v>
      </c>
      <c r="M932" s="3">
        <v>13612.992</v>
      </c>
      <c r="N932" s="3">
        <v>13612.992</v>
      </c>
      <c r="O932" s="4">
        <v>0</v>
      </c>
      <c r="P932" s="4">
        <v>14.617800000000001</v>
      </c>
      <c r="Q932" s="4">
        <v>0</v>
      </c>
      <c r="R932" s="5">
        <v>9.2999999999999992E-3</v>
      </c>
      <c r="S932">
        <v>34</v>
      </c>
      <c r="T932" t="b">
        <v>0</v>
      </c>
      <c r="U932">
        <v>2</v>
      </c>
      <c r="V932" s="4">
        <v>21.49</v>
      </c>
    </row>
    <row r="933" spans="1:22" hidden="1" x14ac:dyDescent="0.35">
      <c r="A933" t="s">
        <v>28</v>
      </c>
      <c r="B933">
        <v>2</v>
      </c>
      <c r="C933">
        <v>3</v>
      </c>
      <c r="D933">
        <v>10</v>
      </c>
      <c r="E933" t="s">
        <v>22</v>
      </c>
      <c r="F933">
        <v>200</v>
      </c>
      <c r="G933">
        <v>3</v>
      </c>
      <c r="H933">
        <v>20</v>
      </c>
      <c r="I933" t="s">
        <v>26</v>
      </c>
      <c r="J933" s="3">
        <v>213.23763600000001</v>
      </c>
      <c r="K933" s="3">
        <v>13612.992</v>
      </c>
      <c r="L933" s="3">
        <v>15602.912</v>
      </c>
      <c r="M933" s="3">
        <v>13612.992</v>
      </c>
      <c r="N933" s="3">
        <v>13612.992</v>
      </c>
      <c r="O933" s="4">
        <v>0</v>
      </c>
      <c r="P933" s="4">
        <v>14.617800000000001</v>
      </c>
      <c r="Q933" s="4">
        <v>0</v>
      </c>
      <c r="R933" s="5">
        <v>9.2999999999999992E-3</v>
      </c>
      <c r="S933">
        <v>34</v>
      </c>
      <c r="T933" t="b">
        <v>0</v>
      </c>
      <c r="U933">
        <v>2</v>
      </c>
      <c r="V933" s="4">
        <v>52.49</v>
      </c>
    </row>
    <row r="934" spans="1:22" hidden="1" x14ac:dyDescent="0.35">
      <c r="A934" t="s">
        <v>28</v>
      </c>
      <c r="B934">
        <v>2</v>
      </c>
      <c r="C934">
        <v>3</v>
      </c>
      <c r="D934">
        <v>10</v>
      </c>
      <c r="E934" t="s">
        <v>25</v>
      </c>
      <c r="F934">
        <v>50</v>
      </c>
      <c r="G934">
        <v>1</v>
      </c>
      <c r="H934">
        <v>20</v>
      </c>
      <c r="I934" t="s">
        <v>26</v>
      </c>
      <c r="J934" s="3">
        <v>740.11565299999995</v>
      </c>
      <c r="K934" s="3" t="s">
        <v>24</v>
      </c>
      <c r="L934" s="3" t="s">
        <v>24</v>
      </c>
      <c r="M934" s="3" t="s">
        <v>24</v>
      </c>
      <c r="N934" s="3">
        <v>13612.992</v>
      </c>
      <c r="O934" s="4"/>
      <c r="P934" s="4"/>
      <c r="Q934" s="4"/>
      <c r="R934" s="5">
        <v>0</v>
      </c>
      <c r="S934">
        <v>0</v>
      </c>
      <c r="T934" t="b">
        <v>1</v>
      </c>
      <c r="U934">
        <v>-1</v>
      </c>
      <c r="V934" s="4">
        <v>2.93</v>
      </c>
    </row>
    <row r="935" spans="1:22" hidden="1" x14ac:dyDescent="0.35">
      <c r="A935" t="s">
        <v>28</v>
      </c>
      <c r="B935">
        <v>2</v>
      </c>
      <c r="C935">
        <v>3</v>
      </c>
      <c r="D935">
        <v>10</v>
      </c>
      <c r="E935" t="s">
        <v>25</v>
      </c>
      <c r="F935">
        <v>50</v>
      </c>
      <c r="G935">
        <v>3</v>
      </c>
      <c r="H935">
        <v>20</v>
      </c>
      <c r="I935" t="s">
        <v>26</v>
      </c>
      <c r="J935" s="3">
        <v>720.34971299999995</v>
      </c>
      <c r="K935" s="3" t="s">
        <v>24</v>
      </c>
      <c r="L935" s="3" t="s">
        <v>24</v>
      </c>
      <c r="M935" s="3" t="s">
        <v>24</v>
      </c>
      <c r="N935" s="3">
        <v>13612.992</v>
      </c>
      <c r="O935" s="4"/>
      <c r="P935" s="4"/>
      <c r="Q935" s="4"/>
      <c r="R935" s="5">
        <v>0</v>
      </c>
      <c r="S935">
        <v>0</v>
      </c>
      <c r="T935" t="b">
        <v>1</v>
      </c>
      <c r="U935">
        <v>-1</v>
      </c>
      <c r="V935" s="4">
        <v>7.64</v>
      </c>
    </row>
    <row r="936" spans="1:22" hidden="1" x14ac:dyDescent="0.35">
      <c r="A936" t="s">
        <v>28</v>
      </c>
      <c r="B936">
        <v>2</v>
      </c>
      <c r="C936">
        <v>3</v>
      </c>
      <c r="D936">
        <v>10</v>
      </c>
      <c r="E936" t="s">
        <v>25</v>
      </c>
      <c r="F936">
        <v>200</v>
      </c>
      <c r="G936">
        <v>1</v>
      </c>
      <c r="H936">
        <v>20</v>
      </c>
      <c r="I936" t="s">
        <v>26</v>
      </c>
      <c r="J936" s="3">
        <v>740.11565299999995</v>
      </c>
      <c r="K936" s="3" t="s">
        <v>24</v>
      </c>
      <c r="L936" s="3" t="s">
        <v>24</v>
      </c>
      <c r="M936" s="3" t="s">
        <v>24</v>
      </c>
      <c r="N936" s="3">
        <v>13612.992</v>
      </c>
      <c r="O936" s="4"/>
      <c r="P936" s="4"/>
      <c r="Q936" s="4"/>
      <c r="R936" s="5">
        <v>0</v>
      </c>
      <c r="S936">
        <v>0</v>
      </c>
      <c r="T936" t="b">
        <v>1</v>
      </c>
      <c r="U936">
        <v>-1</v>
      </c>
      <c r="V936" s="4">
        <v>2.97</v>
      </c>
    </row>
    <row r="937" spans="1:22" hidden="1" x14ac:dyDescent="0.35">
      <c r="A937" t="s">
        <v>28</v>
      </c>
      <c r="B937">
        <v>2</v>
      </c>
      <c r="C937">
        <v>3</v>
      </c>
      <c r="D937">
        <v>10</v>
      </c>
      <c r="E937" t="s">
        <v>25</v>
      </c>
      <c r="F937">
        <v>200</v>
      </c>
      <c r="G937">
        <v>3</v>
      </c>
      <c r="H937">
        <v>20</v>
      </c>
      <c r="I937" t="s">
        <v>26</v>
      </c>
      <c r="J937" s="3">
        <v>720.34971299999995</v>
      </c>
      <c r="K937" s="3" t="s">
        <v>24</v>
      </c>
      <c r="L937" s="3" t="s">
        <v>24</v>
      </c>
      <c r="M937" s="3" t="s">
        <v>24</v>
      </c>
      <c r="N937" s="3">
        <v>13612.992</v>
      </c>
      <c r="O937" s="4"/>
      <c r="P937" s="4"/>
      <c r="Q937" s="4"/>
      <c r="R937" s="5">
        <v>0</v>
      </c>
      <c r="S937">
        <v>0</v>
      </c>
      <c r="T937" t="b">
        <v>1</v>
      </c>
      <c r="U937">
        <v>-1</v>
      </c>
      <c r="V937" s="4">
        <v>7.75</v>
      </c>
    </row>
    <row r="938" spans="1:22" hidden="1" x14ac:dyDescent="0.35">
      <c r="A938" t="s">
        <v>28</v>
      </c>
      <c r="B938">
        <v>2</v>
      </c>
      <c r="C938">
        <v>5</v>
      </c>
      <c r="D938">
        <v>2</v>
      </c>
      <c r="E938" t="s">
        <v>22</v>
      </c>
      <c r="F938">
        <v>50</v>
      </c>
      <c r="G938">
        <v>1</v>
      </c>
      <c r="H938">
        <v>20</v>
      </c>
      <c r="I938" t="s">
        <v>26</v>
      </c>
      <c r="J938" s="3">
        <v>53.946672</v>
      </c>
      <c r="K938" s="3">
        <v>14481.279</v>
      </c>
      <c r="L938" s="3">
        <v>17560.258999999998</v>
      </c>
      <c r="M938" s="3">
        <v>13612.992</v>
      </c>
      <c r="N938" s="3">
        <v>13612.992</v>
      </c>
      <c r="O938" s="4">
        <v>6.3784000000000001</v>
      </c>
      <c r="P938" s="4">
        <v>28.996300000000002</v>
      </c>
      <c r="Q938" s="4">
        <v>0</v>
      </c>
      <c r="R938" s="5">
        <v>2.8E-3</v>
      </c>
      <c r="S938">
        <v>20</v>
      </c>
      <c r="T938" t="b">
        <v>0</v>
      </c>
      <c r="U938">
        <v>11</v>
      </c>
      <c r="V938" s="4">
        <v>20.96</v>
      </c>
    </row>
    <row r="939" spans="1:22" hidden="1" x14ac:dyDescent="0.35">
      <c r="A939" t="s">
        <v>28</v>
      </c>
      <c r="B939">
        <v>2</v>
      </c>
      <c r="C939">
        <v>5</v>
      </c>
      <c r="D939">
        <v>2</v>
      </c>
      <c r="E939" t="s">
        <v>22</v>
      </c>
      <c r="F939">
        <v>50</v>
      </c>
      <c r="G939">
        <v>3</v>
      </c>
      <c r="H939">
        <v>20</v>
      </c>
      <c r="I939" t="s">
        <v>26</v>
      </c>
      <c r="J939" s="3">
        <v>53.946672</v>
      </c>
      <c r="K939" s="3">
        <v>14481.279</v>
      </c>
      <c r="L939" s="3">
        <v>17560.258999999998</v>
      </c>
      <c r="M939" s="3">
        <v>13612.992</v>
      </c>
      <c r="N939" s="3">
        <v>13612.992</v>
      </c>
      <c r="O939" s="4">
        <v>6.3784000000000001</v>
      </c>
      <c r="P939" s="4">
        <v>28.996300000000002</v>
      </c>
      <c r="Q939" s="4">
        <v>0</v>
      </c>
      <c r="R939" s="5">
        <v>2.8E-3</v>
      </c>
      <c r="S939">
        <v>20</v>
      </c>
      <c r="T939" t="b">
        <v>0</v>
      </c>
      <c r="U939">
        <v>11</v>
      </c>
      <c r="V939" s="4">
        <v>61.54</v>
      </c>
    </row>
    <row r="940" spans="1:22" hidden="1" x14ac:dyDescent="0.35">
      <c r="A940" t="s">
        <v>28</v>
      </c>
      <c r="B940">
        <v>2</v>
      </c>
      <c r="C940">
        <v>5</v>
      </c>
      <c r="D940">
        <v>2</v>
      </c>
      <c r="E940" t="s">
        <v>22</v>
      </c>
      <c r="F940">
        <v>200</v>
      </c>
      <c r="G940">
        <v>1</v>
      </c>
      <c r="H940">
        <v>20</v>
      </c>
      <c r="I940" t="s">
        <v>26</v>
      </c>
      <c r="J940" s="3">
        <v>52.450642000000002</v>
      </c>
      <c r="K940" s="3">
        <v>13612.992</v>
      </c>
      <c r="L940" s="3">
        <v>15570.339</v>
      </c>
      <c r="M940" s="3">
        <v>13612.992</v>
      </c>
      <c r="N940" s="3">
        <v>13612.992</v>
      </c>
      <c r="O940" s="4">
        <v>0</v>
      </c>
      <c r="P940" s="4">
        <v>14.378500000000001</v>
      </c>
      <c r="Q940" s="4">
        <v>0</v>
      </c>
      <c r="R940" s="5">
        <v>3.2000000000000002E-3</v>
      </c>
      <c r="S940">
        <v>21</v>
      </c>
      <c r="T940" t="b">
        <v>0</v>
      </c>
      <c r="U940">
        <v>8</v>
      </c>
      <c r="V940" s="4">
        <v>41.17</v>
      </c>
    </row>
    <row r="941" spans="1:22" hidden="1" x14ac:dyDescent="0.35">
      <c r="A941" t="s">
        <v>28</v>
      </c>
      <c r="B941">
        <v>2</v>
      </c>
      <c r="C941">
        <v>5</v>
      </c>
      <c r="D941">
        <v>2</v>
      </c>
      <c r="E941" t="s">
        <v>22</v>
      </c>
      <c r="F941">
        <v>200</v>
      </c>
      <c r="G941">
        <v>3</v>
      </c>
      <c r="H941">
        <v>20</v>
      </c>
      <c r="I941" t="s">
        <v>26</v>
      </c>
      <c r="J941" s="3">
        <v>52.450642000000002</v>
      </c>
      <c r="K941" s="3">
        <v>13612.992</v>
      </c>
      <c r="L941" s="3">
        <v>15570.339</v>
      </c>
      <c r="M941" s="3">
        <v>13612.992</v>
      </c>
      <c r="N941" s="3">
        <v>13612.992</v>
      </c>
      <c r="O941" s="4">
        <v>0</v>
      </c>
      <c r="P941" s="4">
        <v>14.378500000000001</v>
      </c>
      <c r="Q941" s="4">
        <v>0</v>
      </c>
      <c r="R941" s="5">
        <v>3.2000000000000002E-3</v>
      </c>
      <c r="S941">
        <v>21</v>
      </c>
      <c r="T941" t="b">
        <v>0</v>
      </c>
      <c r="U941">
        <v>8</v>
      </c>
      <c r="V941" s="4">
        <v>121.89</v>
      </c>
    </row>
    <row r="942" spans="1:22" hidden="1" x14ac:dyDescent="0.35">
      <c r="A942" t="s">
        <v>28</v>
      </c>
      <c r="B942">
        <v>2</v>
      </c>
      <c r="C942">
        <v>5</v>
      </c>
      <c r="D942">
        <v>2</v>
      </c>
      <c r="E942" t="s">
        <v>25</v>
      </c>
      <c r="F942">
        <v>50</v>
      </c>
      <c r="G942">
        <v>1</v>
      </c>
      <c r="H942">
        <v>20</v>
      </c>
      <c r="I942" t="s">
        <v>26</v>
      </c>
      <c r="J942" s="3">
        <v>156.50076300000001</v>
      </c>
      <c r="K942" s="3" t="s">
        <v>24</v>
      </c>
      <c r="L942" s="3" t="s">
        <v>24</v>
      </c>
      <c r="M942" s="3" t="s">
        <v>24</v>
      </c>
      <c r="N942" s="3">
        <v>13612.992</v>
      </c>
      <c r="O942" s="4"/>
      <c r="P942" s="4"/>
      <c r="Q942" s="4"/>
      <c r="R942" s="5">
        <v>0</v>
      </c>
      <c r="S942">
        <v>0</v>
      </c>
      <c r="T942" t="b">
        <v>1</v>
      </c>
      <c r="U942">
        <v>-1</v>
      </c>
      <c r="V942" s="4">
        <v>5.45</v>
      </c>
    </row>
    <row r="943" spans="1:22" hidden="1" x14ac:dyDescent="0.35">
      <c r="A943" t="s">
        <v>28</v>
      </c>
      <c r="B943">
        <v>2</v>
      </c>
      <c r="C943">
        <v>5</v>
      </c>
      <c r="D943">
        <v>2</v>
      </c>
      <c r="E943" t="s">
        <v>25</v>
      </c>
      <c r="F943">
        <v>50</v>
      </c>
      <c r="G943">
        <v>3</v>
      </c>
      <c r="H943">
        <v>20</v>
      </c>
      <c r="I943" t="s">
        <v>26</v>
      </c>
      <c r="J943" s="3">
        <v>154.26891699999999</v>
      </c>
      <c r="K943" s="3">
        <v>14664.001</v>
      </c>
      <c r="L943" s="3">
        <v>14664.001</v>
      </c>
      <c r="M943" s="3">
        <v>14664.001</v>
      </c>
      <c r="N943" s="3">
        <v>13612.992</v>
      </c>
      <c r="O943" s="4">
        <v>7.7206000000000001</v>
      </c>
      <c r="P943" s="4">
        <v>7.7206000000000001</v>
      </c>
      <c r="Q943" s="4">
        <v>7.7206000000000001</v>
      </c>
      <c r="R943" s="5">
        <v>1E-4</v>
      </c>
      <c r="S943">
        <v>1</v>
      </c>
      <c r="T943" t="b">
        <v>0</v>
      </c>
      <c r="U943">
        <v>1</v>
      </c>
      <c r="V943" s="4">
        <v>15.27</v>
      </c>
    </row>
    <row r="944" spans="1:22" hidden="1" x14ac:dyDescent="0.35">
      <c r="A944" t="s">
        <v>28</v>
      </c>
      <c r="B944">
        <v>2</v>
      </c>
      <c r="C944">
        <v>5</v>
      </c>
      <c r="D944">
        <v>2</v>
      </c>
      <c r="E944" t="s">
        <v>25</v>
      </c>
      <c r="F944">
        <v>200</v>
      </c>
      <c r="G944">
        <v>1</v>
      </c>
      <c r="H944">
        <v>20</v>
      </c>
      <c r="I944" t="s">
        <v>26</v>
      </c>
      <c r="J944" s="3">
        <v>156.50076300000001</v>
      </c>
      <c r="K944" s="3" t="s">
        <v>24</v>
      </c>
      <c r="L944" s="3" t="s">
        <v>24</v>
      </c>
      <c r="M944" s="3" t="s">
        <v>24</v>
      </c>
      <c r="N944" s="3">
        <v>13612.992</v>
      </c>
      <c r="O944" s="4"/>
      <c r="P944" s="4"/>
      <c r="Q944" s="4"/>
      <c r="R944" s="5">
        <v>0</v>
      </c>
      <c r="S944">
        <v>0</v>
      </c>
      <c r="T944" t="b">
        <v>1</v>
      </c>
      <c r="U944">
        <v>-1</v>
      </c>
      <c r="V944" s="4">
        <v>5.46</v>
      </c>
    </row>
    <row r="945" spans="1:22" hidden="1" x14ac:dyDescent="0.35">
      <c r="A945" t="s">
        <v>28</v>
      </c>
      <c r="B945">
        <v>2</v>
      </c>
      <c r="C945">
        <v>5</v>
      </c>
      <c r="D945">
        <v>2</v>
      </c>
      <c r="E945" t="s">
        <v>25</v>
      </c>
      <c r="F945">
        <v>200</v>
      </c>
      <c r="G945">
        <v>3</v>
      </c>
      <c r="H945">
        <v>20</v>
      </c>
      <c r="I945" t="s">
        <v>26</v>
      </c>
      <c r="J945" s="3">
        <v>154.26891699999999</v>
      </c>
      <c r="K945" s="3">
        <v>14664.001</v>
      </c>
      <c r="L945" s="3">
        <v>14664.001</v>
      </c>
      <c r="M945" s="3">
        <v>14664.001</v>
      </c>
      <c r="N945" s="3">
        <v>13612.992</v>
      </c>
      <c r="O945" s="4">
        <v>7.7206000000000001</v>
      </c>
      <c r="P945" s="4">
        <v>7.7206000000000001</v>
      </c>
      <c r="Q945" s="4">
        <v>7.7206000000000001</v>
      </c>
      <c r="R945" s="5">
        <v>1E-4</v>
      </c>
      <c r="S945">
        <v>1</v>
      </c>
      <c r="T945" t="b">
        <v>0</v>
      </c>
      <c r="U945">
        <v>1</v>
      </c>
      <c r="V945" s="4">
        <v>15.52</v>
      </c>
    </row>
    <row r="946" spans="1:22" hidden="1" x14ac:dyDescent="0.35">
      <c r="A946" t="s">
        <v>28</v>
      </c>
      <c r="B946">
        <v>2</v>
      </c>
      <c r="C946">
        <v>5</v>
      </c>
      <c r="D946">
        <v>5</v>
      </c>
      <c r="E946" t="s">
        <v>22</v>
      </c>
      <c r="F946">
        <v>50</v>
      </c>
      <c r="G946">
        <v>1</v>
      </c>
      <c r="H946">
        <v>20</v>
      </c>
      <c r="I946" t="s">
        <v>26</v>
      </c>
      <c r="J946" s="3">
        <v>349.12828000000002</v>
      </c>
      <c r="K946" s="3" t="s">
        <v>24</v>
      </c>
      <c r="L946" s="3" t="s">
        <v>24</v>
      </c>
      <c r="M946" s="3" t="s">
        <v>24</v>
      </c>
      <c r="N946" s="3">
        <v>13612.992</v>
      </c>
      <c r="O946" s="4"/>
      <c r="P946" s="4"/>
      <c r="Q946" s="4"/>
      <c r="R946" s="5">
        <v>0</v>
      </c>
      <c r="S946">
        <v>0</v>
      </c>
      <c r="T946" t="b">
        <v>1</v>
      </c>
      <c r="U946">
        <v>-1</v>
      </c>
      <c r="V946" s="4">
        <v>21.11</v>
      </c>
    </row>
    <row r="947" spans="1:22" hidden="1" x14ac:dyDescent="0.35">
      <c r="A947" t="s">
        <v>28</v>
      </c>
      <c r="B947">
        <v>2</v>
      </c>
      <c r="C947">
        <v>5</v>
      </c>
      <c r="D947">
        <v>5</v>
      </c>
      <c r="E947" t="s">
        <v>22</v>
      </c>
      <c r="F947">
        <v>50</v>
      </c>
      <c r="G947">
        <v>3</v>
      </c>
      <c r="H947">
        <v>20</v>
      </c>
      <c r="I947" t="s">
        <v>26</v>
      </c>
      <c r="J947" s="3">
        <v>118.030028</v>
      </c>
      <c r="K947" s="3">
        <v>13612.992</v>
      </c>
      <c r="L947" s="3">
        <v>17742.981</v>
      </c>
      <c r="M947" s="3">
        <v>13612.992</v>
      </c>
      <c r="N947" s="3">
        <v>13612.992</v>
      </c>
      <c r="O947" s="4">
        <v>0</v>
      </c>
      <c r="P947" s="4">
        <v>30.3386</v>
      </c>
      <c r="Q947" s="4">
        <v>0</v>
      </c>
      <c r="R947" s="5">
        <v>1.7899999999999999E-2</v>
      </c>
      <c r="S947">
        <v>35</v>
      </c>
      <c r="T947" t="b">
        <v>0</v>
      </c>
      <c r="U947">
        <v>21</v>
      </c>
      <c r="V947" s="4">
        <v>61.69</v>
      </c>
    </row>
    <row r="948" spans="1:22" hidden="1" x14ac:dyDescent="0.35">
      <c r="A948" t="s">
        <v>28</v>
      </c>
      <c r="B948">
        <v>2</v>
      </c>
      <c r="C948">
        <v>5</v>
      </c>
      <c r="D948">
        <v>5</v>
      </c>
      <c r="E948" t="s">
        <v>22</v>
      </c>
      <c r="F948">
        <v>200</v>
      </c>
      <c r="G948">
        <v>1</v>
      </c>
      <c r="H948">
        <v>20</v>
      </c>
      <c r="I948" t="s">
        <v>26</v>
      </c>
      <c r="J948" s="3">
        <v>345.158005</v>
      </c>
      <c r="K948" s="3">
        <v>15602.912</v>
      </c>
      <c r="L948" s="3">
        <v>16621.348000000002</v>
      </c>
      <c r="M948" s="3">
        <v>15602.912</v>
      </c>
      <c r="N948" s="3">
        <v>13612.992</v>
      </c>
      <c r="O948" s="4">
        <v>14.617800000000001</v>
      </c>
      <c r="P948" s="4">
        <v>22.0992</v>
      </c>
      <c r="Q948" s="4">
        <v>14.617800000000001</v>
      </c>
      <c r="R948" s="5">
        <v>2.0000000000000001E-4</v>
      </c>
      <c r="S948">
        <v>2</v>
      </c>
      <c r="T948" t="b">
        <v>0</v>
      </c>
      <c r="U948">
        <v>2</v>
      </c>
      <c r="V948" s="4">
        <v>32.799999999999997</v>
      </c>
    </row>
    <row r="949" spans="1:22" hidden="1" x14ac:dyDescent="0.35">
      <c r="A949" t="s">
        <v>28</v>
      </c>
      <c r="B949">
        <v>2</v>
      </c>
      <c r="C949">
        <v>5</v>
      </c>
      <c r="D949">
        <v>5</v>
      </c>
      <c r="E949" t="s">
        <v>22</v>
      </c>
      <c r="F949">
        <v>200</v>
      </c>
      <c r="G949">
        <v>3</v>
      </c>
      <c r="H949">
        <v>20</v>
      </c>
      <c r="I949" t="s">
        <v>26</v>
      </c>
      <c r="J949" s="3">
        <v>96.513439000000005</v>
      </c>
      <c r="K949" s="3">
        <v>14481.279</v>
      </c>
      <c r="L949" s="3">
        <v>16072.334000000001</v>
      </c>
      <c r="M949" s="3">
        <v>13612.992</v>
      </c>
      <c r="N949" s="3">
        <v>13612.992</v>
      </c>
      <c r="O949" s="4">
        <v>6.3784000000000001</v>
      </c>
      <c r="P949" s="4">
        <v>18.066099999999999</v>
      </c>
      <c r="Q949" s="4">
        <v>0</v>
      </c>
      <c r="R949" s="5">
        <v>1.2200000000000001E-2</v>
      </c>
      <c r="S949">
        <v>35</v>
      </c>
      <c r="T949" t="b">
        <v>0</v>
      </c>
      <c r="U949">
        <v>31</v>
      </c>
      <c r="V949" s="4">
        <v>113.16</v>
      </c>
    </row>
    <row r="950" spans="1:22" hidden="1" x14ac:dyDescent="0.35">
      <c r="A950" t="s">
        <v>28</v>
      </c>
      <c r="B950">
        <v>2</v>
      </c>
      <c r="C950">
        <v>5</v>
      </c>
      <c r="D950">
        <v>5</v>
      </c>
      <c r="E950" t="s">
        <v>25</v>
      </c>
      <c r="F950">
        <v>50</v>
      </c>
      <c r="G950">
        <v>1</v>
      </c>
      <c r="H950">
        <v>20</v>
      </c>
      <c r="I950" t="s">
        <v>26</v>
      </c>
      <c r="J950" s="3">
        <v>371.42776400000002</v>
      </c>
      <c r="K950" s="3">
        <v>14481.279</v>
      </c>
      <c r="L950" s="3">
        <v>16621.348000000002</v>
      </c>
      <c r="M950" s="3">
        <v>14481.279</v>
      </c>
      <c r="N950" s="3">
        <v>13612.992</v>
      </c>
      <c r="O950" s="4">
        <v>6.3784000000000001</v>
      </c>
      <c r="P950" s="4">
        <v>22.0992</v>
      </c>
      <c r="Q950" s="4">
        <v>6.3784000000000001</v>
      </c>
      <c r="R950" s="5">
        <v>2.0000000000000001E-4</v>
      </c>
      <c r="S950">
        <v>2</v>
      </c>
      <c r="T950" t="b">
        <v>0</v>
      </c>
      <c r="U950">
        <v>2</v>
      </c>
      <c r="V950" s="4">
        <v>6.16</v>
      </c>
    </row>
    <row r="951" spans="1:22" hidden="1" x14ac:dyDescent="0.35">
      <c r="A951" t="s">
        <v>28</v>
      </c>
      <c r="B951">
        <v>2</v>
      </c>
      <c r="C951">
        <v>5</v>
      </c>
      <c r="D951">
        <v>5</v>
      </c>
      <c r="E951" t="s">
        <v>25</v>
      </c>
      <c r="F951">
        <v>50</v>
      </c>
      <c r="G951">
        <v>3</v>
      </c>
      <c r="H951">
        <v>20</v>
      </c>
      <c r="I951" t="s">
        <v>26</v>
      </c>
      <c r="J951" s="3">
        <v>371.42776400000002</v>
      </c>
      <c r="K951" s="3">
        <v>14481.279</v>
      </c>
      <c r="L951" s="3">
        <v>16621.348000000002</v>
      </c>
      <c r="M951" s="3">
        <v>14481.279</v>
      </c>
      <c r="N951" s="3">
        <v>13612.992</v>
      </c>
      <c r="O951" s="4">
        <v>6.3784000000000001</v>
      </c>
      <c r="P951" s="4">
        <v>22.0992</v>
      </c>
      <c r="Q951" s="4">
        <v>6.3784000000000001</v>
      </c>
      <c r="R951" s="5">
        <v>2.0000000000000001E-4</v>
      </c>
      <c r="S951">
        <v>2</v>
      </c>
      <c r="T951" t="b">
        <v>0</v>
      </c>
      <c r="U951">
        <v>2</v>
      </c>
      <c r="V951" s="4">
        <v>15.45</v>
      </c>
    </row>
    <row r="952" spans="1:22" hidden="1" x14ac:dyDescent="0.35">
      <c r="A952" t="s">
        <v>28</v>
      </c>
      <c r="B952">
        <v>2</v>
      </c>
      <c r="C952">
        <v>5</v>
      </c>
      <c r="D952">
        <v>5</v>
      </c>
      <c r="E952" t="s">
        <v>25</v>
      </c>
      <c r="F952">
        <v>200</v>
      </c>
      <c r="G952">
        <v>1</v>
      </c>
      <c r="H952">
        <v>20</v>
      </c>
      <c r="I952" t="s">
        <v>26</v>
      </c>
      <c r="J952" s="3">
        <v>371.42776400000002</v>
      </c>
      <c r="K952" s="3">
        <v>14481.279</v>
      </c>
      <c r="L952" s="3">
        <v>16621.348000000002</v>
      </c>
      <c r="M952" s="3">
        <v>14481.279</v>
      </c>
      <c r="N952" s="3">
        <v>13612.992</v>
      </c>
      <c r="O952" s="4">
        <v>6.3784000000000001</v>
      </c>
      <c r="P952" s="4">
        <v>22.0992</v>
      </c>
      <c r="Q952" s="4">
        <v>6.3784000000000001</v>
      </c>
      <c r="R952" s="5">
        <v>2.0000000000000001E-4</v>
      </c>
      <c r="S952">
        <v>2</v>
      </c>
      <c r="T952" t="b">
        <v>0</v>
      </c>
      <c r="U952">
        <v>2</v>
      </c>
      <c r="V952" s="4">
        <v>5.45</v>
      </c>
    </row>
    <row r="953" spans="1:22" hidden="1" x14ac:dyDescent="0.35">
      <c r="A953" t="s">
        <v>28</v>
      </c>
      <c r="B953">
        <v>2</v>
      </c>
      <c r="C953">
        <v>5</v>
      </c>
      <c r="D953">
        <v>5</v>
      </c>
      <c r="E953" t="s">
        <v>25</v>
      </c>
      <c r="F953">
        <v>200</v>
      </c>
      <c r="G953">
        <v>3</v>
      </c>
      <c r="H953">
        <v>20</v>
      </c>
      <c r="I953" t="s">
        <v>26</v>
      </c>
      <c r="J953" s="3">
        <v>371.42776400000002</v>
      </c>
      <c r="K953" s="3">
        <v>14481.279</v>
      </c>
      <c r="L953" s="3">
        <v>16621.348000000002</v>
      </c>
      <c r="M953" s="3">
        <v>14481.279</v>
      </c>
      <c r="N953" s="3">
        <v>13612.992</v>
      </c>
      <c r="O953" s="4">
        <v>6.3784000000000001</v>
      </c>
      <c r="P953" s="4">
        <v>22.0992</v>
      </c>
      <c r="Q953" s="4">
        <v>6.3784000000000001</v>
      </c>
      <c r="R953" s="5">
        <v>2.0000000000000001E-4</v>
      </c>
      <c r="S953">
        <v>2</v>
      </c>
      <c r="T953" t="b">
        <v>0</v>
      </c>
      <c r="U953">
        <v>2</v>
      </c>
      <c r="V953" s="4">
        <v>15.36</v>
      </c>
    </row>
    <row r="954" spans="1:22" hidden="1" x14ac:dyDescent="0.35">
      <c r="A954" t="s">
        <v>28</v>
      </c>
      <c r="B954">
        <v>2</v>
      </c>
      <c r="C954">
        <v>5</v>
      </c>
      <c r="D954">
        <v>10</v>
      </c>
      <c r="E954" t="s">
        <v>22</v>
      </c>
      <c r="F954">
        <v>50</v>
      </c>
      <c r="G954">
        <v>1</v>
      </c>
      <c r="H954">
        <v>20</v>
      </c>
      <c r="I954" t="s">
        <v>26</v>
      </c>
      <c r="J954" s="3">
        <v>712.41176499999995</v>
      </c>
      <c r="K954" s="3" t="s">
        <v>24</v>
      </c>
      <c r="L954" s="3" t="s">
        <v>24</v>
      </c>
      <c r="M954" s="3" t="s">
        <v>24</v>
      </c>
      <c r="N954" s="3">
        <v>13612.992</v>
      </c>
      <c r="O954" s="4"/>
      <c r="P954" s="4"/>
      <c r="Q954" s="4"/>
      <c r="R954" s="5">
        <v>0</v>
      </c>
      <c r="S954">
        <v>0</v>
      </c>
      <c r="T954" t="b">
        <v>1</v>
      </c>
      <c r="U954">
        <v>-1</v>
      </c>
      <c r="V954" s="4">
        <v>21.28</v>
      </c>
    </row>
    <row r="955" spans="1:22" hidden="1" x14ac:dyDescent="0.35">
      <c r="A955" t="s">
        <v>28</v>
      </c>
      <c r="B955">
        <v>2</v>
      </c>
      <c r="C955">
        <v>5</v>
      </c>
      <c r="D955">
        <v>10</v>
      </c>
      <c r="E955" t="s">
        <v>22</v>
      </c>
      <c r="F955">
        <v>50</v>
      </c>
      <c r="G955">
        <v>3</v>
      </c>
      <c r="H955">
        <v>20</v>
      </c>
      <c r="I955" t="s">
        <v>26</v>
      </c>
      <c r="J955" s="3">
        <v>256.62854499999997</v>
      </c>
      <c r="K955" s="3">
        <v>13932.264999999999</v>
      </c>
      <c r="L955" s="3">
        <v>15021.325000000001</v>
      </c>
      <c r="M955" s="3">
        <v>13612.992</v>
      </c>
      <c r="N955" s="3">
        <v>13612.992</v>
      </c>
      <c r="O955" s="4">
        <v>2.3454000000000002</v>
      </c>
      <c r="P955" s="4">
        <v>10.345499999999999</v>
      </c>
      <c r="Q955" s="4">
        <v>0</v>
      </c>
      <c r="R955" s="5">
        <v>1.04E-2</v>
      </c>
      <c r="S955">
        <v>34</v>
      </c>
      <c r="T955" t="b">
        <v>0</v>
      </c>
      <c r="U955">
        <v>23</v>
      </c>
      <c r="V955" s="4">
        <v>61.96</v>
      </c>
    </row>
    <row r="956" spans="1:22" hidden="1" x14ac:dyDescent="0.35">
      <c r="A956" t="s">
        <v>28</v>
      </c>
      <c r="B956">
        <v>2</v>
      </c>
      <c r="C956">
        <v>5</v>
      </c>
      <c r="D956">
        <v>10</v>
      </c>
      <c r="E956" t="s">
        <v>22</v>
      </c>
      <c r="F956">
        <v>200</v>
      </c>
      <c r="G956">
        <v>1</v>
      </c>
      <c r="H956">
        <v>20</v>
      </c>
      <c r="I956" t="s">
        <v>26</v>
      </c>
      <c r="J956" s="3">
        <v>704.46971199999996</v>
      </c>
      <c r="K956" s="3">
        <v>15602.912</v>
      </c>
      <c r="L956" s="3">
        <v>15602.912</v>
      </c>
      <c r="M956" s="3">
        <v>15602.912</v>
      </c>
      <c r="N956" s="3">
        <v>13612.992</v>
      </c>
      <c r="O956" s="4">
        <v>14.617800000000001</v>
      </c>
      <c r="P956" s="4">
        <v>14.617800000000001</v>
      </c>
      <c r="Q956" s="4">
        <v>14.617800000000001</v>
      </c>
      <c r="R956" s="5">
        <v>1E-4</v>
      </c>
      <c r="S956">
        <v>1</v>
      </c>
      <c r="T956" t="b">
        <v>0</v>
      </c>
      <c r="U956">
        <v>1</v>
      </c>
      <c r="V956" s="4">
        <v>32.700000000000003</v>
      </c>
    </row>
    <row r="957" spans="1:22" hidden="1" x14ac:dyDescent="0.35">
      <c r="A957" t="s">
        <v>28</v>
      </c>
      <c r="B957">
        <v>2</v>
      </c>
      <c r="C957">
        <v>5</v>
      </c>
      <c r="D957">
        <v>10</v>
      </c>
      <c r="E957" t="s">
        <v>22</v>
      </c>
      <c r="F957">
        <v>200</v>
      </c>
      <c r="G957">
        <v>3</v>
      </c>
      <c r="H957">
        <v>20</v>
      </c>
      <c r="I957" t="s">
        <v>26</v>
      </c>
      <c r="J957" s="3">
        <v>253.28739400000001</v>
      </c>
      <c r="K957" s="3">
        <v>13612.992</v>
      </c>
      <c r="L957" s="3">
        <v>15021.325000000001</v>
      </c>
      <c r="M957" s="3">
        <v>13612.992</v>
      </c>
      <c r="N957" s="3">
        <v>13612.992</v>
      </c>
      <c r="O957" s="4">
        <v>0</v>
      </c>
      <c r="P957" s="4">
        <v>10.345499999999999</v>
      </c>
      <c r="Q957" s="4">
        <v>0</v>
      </c>
      <c r="R957" s="5">
        <v>1.0500000000000001E-2</v>
      </c>
      <c r="S957">
        <v>36</v>
      </c>
      <c r="T957" t="b">
        <v>0</v>
      </c>
      <c r="U957">
        <v>6</v>
      </c>
      <c r="V957" s="4">
        <v>108.91</v>
      </c>
    </row>
    <row r="958" spans="1:22" hidden="1" x14ac:dyDescent="0.35">
      <c r="A958" t="s">
        <v>28</v>
      </c>
      <c r="B958">
        <v>2</v>
      </c>
      <c r="C958">
        <v>5</v>
      </c>
      <c r="D958">
        <v>10</v>
      </c>
      <c r="E958" t="s">
        <v>25</v>
      </c>
      <c r="F958">
        <v>50</v>
      </c>
      <c r="G958">
        <v>1</v>
      </c>
      <c r="H958">
        <v>20</v>
      </c>
      <c r="I958" t="s">
        <v>26</v>
      </c>
      <c r="J958" s="3">
        <v>749.64804800000002</v>
      </c>
      <c r="K958" s="3">
        <v>15602.912</v>
      </c>
      <c r="L958" s="3">
        <v>15602.912</v>
      </c>
      <c r="M958" s="3">
        <v>15602.912</v>
      </c>
      <c r="N958" s="3">
        <v>13612.992</v>
      </c>
      <c r="O958" s="4">
        <v>14.617800000000001</v>
      </c>
      <c r="P958" s="4">
        <v>14.617800000000001</v>
      </c>
      <c r="Q958" s="4">
        <v>14.617800000000001</v>
      </c>
      <c r="R958" s="5">
        <v>1E-4</v>
      </c>
      <c r="S958">
        <v>1</v>
      </c>
      <c r="T958" t="b">
        <v>0</v>
      </c>
      <c r="U958">
        <v>1</v>
      </c>
      <c r="V958" s="4">
        <v>5.5</v>
      </c>
    </row>
    <row r="959" spans="1:22" hidden="1" x14ac:dyDescent="0.35">
      <c r="A959" t="s">
        <v>28</v>
      </c>
      <c r="B959">
        <v>2</v>
      </c>
      <c r="C959">
        <v>5</v>
      </c>
      <c r="D959">
        <v>10</v>
      </c>
      <c r="E959" t="s">
        <v>25</v>
      </c>
      <c r="F959">
        <v>50</v>
      </c>
      <c r="G959">
        <v>3</v>
      </c>
      <c r="H959">
        <v>20</v>
      </c>
      <c r="I959" t="s">
        <v>26</v>
      </c>
      <c r="J959" s="3">
        <v>749.64804800000002</v>
      </c>
      <c r="K959" s="3">
        <v>15602.912</v>
      </c>
      <c r="L959" s="3">
        <v>15602.912</v>
      </c>
      <c r="M959" s="3">
        <v>15602.912</v>
      </c>
      <c r="N959" s="3">
        <v>13612.992</v>
      </c>
      <c r="O959" s="4">
        <v>14.617800000000001</v>
      </c>
      <c r="P959" s="4">
        <v>14.617800000000001</v>
      </c>
      <c r="Q959" s="4">
        <v>14.617800000000001</v>
      </c>
      <c r="R959" s="5">
        <v>1E-4</v>
      </c>
      <c r="S959">
        <v>1</v>
      </c>
      <c r="T959" t="b">
        <v>0</v>
      </c>
      <c r="U959">
        <v>1</v>
      </c>
      <c r="V959" s="4">
        <v>15.51</v>
      </c>
    </row>
    <row r="960" spans="1:22" hidden="1" x14ac:dyDescent="0.35">
      <c r="A960" t="s">
        <v>28</v>
      </c>
      <c r="B960">
        <v>2</v>
      </c>
      <c r="C960">
        <v>5</v>
      </c>
      <c r="D960">
        <v>10</v>
      </c>
      <c r="E960" t="s">
        <v>25</v>
      </c>
      <c r="F960">
        <v>200</v>
      </c>
      <c r="G960">
        <v>1</v>
      </c>
      <c r="H960">
        <v>20</v>
      </c>
      <c r="I960" t="s">
        <v>26</v>
      </c>
      <c r="J960" s="3">
        <v>749.64804800000002</v>
      </c>
      <c r="K960" s="3">
        <v>15602.912</v>
      </c>
      <c r="L960" s="3">
        <v>15602.912</v>
      </c>
      <c r="M960" s="3">
        <v>15602.912</v>
      </c>
      <c r="N960" s="3">
        <v>13612.992</v>
      </c>
      <c r="O960" s="4">
        <v>14.617800000000001</v>
      </c>
      <c r="P960" s="4">
        <v>14.617800000000001</v>
      </c>
      <c r="Q960" s="4">
        <v>14.617800000000001</v>
      </c>
      <c r="R960" s="5">
        <v>1E-4</v>
      </c>
      <c r="S960">
        <v>1</v>
      </c>
      <c r="T960" t="b">
        <v>0</v>
      </c>
      <c r="U960">
        <v>1</v>
      </c>
      <c r="V960" s="4">
        <v>6</v>
      </c>
    </row>
    <row r="961" spans="1:22" hidden="1" x14ac:dyDescent="0.35">
      <c r="A961" t="s">
        <v>28</v>
      </c>
      <c r="B961">
        <v>2</v>
      </c>
      <c r="C961">
        <v>5</v>
      </c>
      <c r="D961">
        <v>10</v>
      </c>
      <c r="E961" t="s">
        <v>25</v>
      </c>
      <c r="F961">
        <v>200</v>
      </c>
      <c r="G961">
        <v>3</v>
      </c>
      <c r="H961">
        <v>20</v>
      </c>
      <c r="I961" t="s">
        <v>26</v>
      </c>
      <c r="J961" s="3">
        <v>749.64804800000002</v>
      </c>
      <c r="K961" s="3">
        <v>15602.912</v>
      </c>
      <c r="L961" s="3">
        <v>15602.912</v>
      </c>
      <c r="M961" s="3">
        <v>15602.912</v>
      </c>
      <c r="N961" s="3">
        <v>13612.992</v>
      </c>
      <c r="O961" s="4">
        <v>14.617800000000001</v>
      </c>
      <c r="P961" s="4">
        <v>14.617800000000001</v>
      </c>
      <c r="Q961" s="4">
        <v>14.617800000000001</v>
      </c>
      <c r="R961" s="5">
        <v>1E-4</v>
      </c>
      <c r="S961">
        <v>1</v>
      </c>
      <c r="T961" t="b">
        <v>0</v>
      </c>
      <c r="U961">
        <v>1</v>
      </c>
      <c r="V961" s="4">
        <v>15.74</v>
      </c>
    </row>
    <row r="962" spans="1:22" hidden="1" x14ac:dyDescent="0.35">
      <c r="A962" t="s">
        <v>28</v>
      </c>
      <c r="B962">
        <v>3</v>
      </c>
      <c r="C962">
        <v>1</v>
      </c>
      <c r="D962">
        <v>2</v>
      </c>
      <c r="E962" t="s">
        <v>22</v>
      </c>
      <c r="F962">
        <v>50</v>
      </c>
      <c r="G962">
        <v>1</v>
      </c>
      <c r="H962">
        <v>20</v>
      </c>
      <c r="I962" t="s">
        <v>26</v>
      </c>
      <c r="J962" s="3">
        <v>57.756889000000001</v>
      </c>
      <c r="K962" s="3">
        <v>17329.107</v>
      </c>
      <c r="L962" s="3">
        <v>19286.454000000002</v>
      </c>
      <c r="M962" s="3">
        <v>17329.107</v>
      </c>
      <c r="N962" s="3">
        <v>17329.107</v>
      </c>
      <c r="O962" s="4">
        <v>0</v>
      </c>
      <c r="P962" s="4">
        <v>11.2951</v>
      </c>
      <c r="Q962" s="4">
        <v>0</v>
      </c>
      <c r="R962" s="5">
        <v>7.3000000000000001E-3</v>
      </c>
      <c r="S962">
        <v>12</v>
      </c>
      <c r="T962" t="b">
        <v>0</v>
      </c>
      <c r="U962">
        <v>6</v>
      </c>
      <c r="V962" s="4">
        <v>5.92</v>
      </c>
    </row>
    <row r="963" spans="1:22" hidden="1" x14ac:dyDescent="0.35">
      <c r="A963" t="s">
        <v>28</v>
      </c>
      <c r="B963">
        <v>3</v>
      </c>
      <c r="C963">
        <v>1</v>
      </c>
      <c r="D963">
        <v>2</v>
      </c>
      <c r="E963" t="s">
        <v>22</v>
      </c>
      <c r="F963">
        <v>50</v>
      </c>
      <c r="G963">
        <v>3</v>
      </c>
      <c r="H963">
        <v>20</v>
      </c>
      <c r="I963" t="s">
        <v>26</v>
      </c>
      <c r="J963" s="3">
        <v>57.756889000000001</v>
      </c>
      <c r="K963" s="3">
        <v>17329.107</v>
      </c>
      <c r="L963" s="3">
        <v>19286.454000000002</v>
      </c>
      <c r="M963" s="3">
        <v>17329.107</v>
      </c>
      <c r="N963" s="3">
        <v>17329.107</v>
      </c>
      <c r="O963" s="4">
        <v>0</v>
      </c>
      <c r="P963" s="4">
        <v>11.2951</v>
      </c>
      <c r="Q963" s="4">
        <v>0</v>
      </c>
      <c r="R963" s="5">
        <v>7.3000000000000001E-3</v>
      </c>
      <c r="S963">
        <v>12</v>
      </c>
      <c r="T963" t="b">
        <v>0</v>
      </c>
      <c r="U963">
        <v>6</v>
      </c>
      <c r="V963" s="4">
        <v>17.47</v>
      </c>
    </row>
    <row r="964" spans="1:22" hidden="1" x14ac:dyDescent="0.35">
      <c r="A964" t="s">
        <v>28</v>
      </c>
      <c r="B964">
        <v>3</v>
      </c>
      <c r="C964">
        <v>1</v>
      </c>
      <c r="D964">
        <v>2</v>
      </c>
      <c r="E964" t="s">
        <v>22</v>
      </c>
      <c r="F964">
        <v>200</v>
      </c>
      <c r="G964">
        <v>1</v>
      </c>
      <c r="H964">
        <v>20</v>
      </c>
      <c r="I964" t="s">
        <v>26</v>
      </c>
      <c r="J964" s="3">
        <v>57.756889000000001</v>
      </c>
      <c r="K964" s="3">
        <v>17329.107</v>
      </c>
      <c r="L964" s="3">
        <v>19286.454000000002</v>
      </c>
      <c r="M964" s="3">
        <v>17329.107</v>
      </c>
      <c r="N964" s="3">
        <v>17329.107</v>
      </c>
      <c r="O964" s="4">
        <v>0</v>
      </c>
      <c r="P964" s="4">
        <v>11.2951</v>
      </c>
      <c r="Q964" s="4">
        <v>0</v>
      </c>
      <c r="R964" s="5">
        <v>7.3000000000000001E-3</v>
      </c>
      <c r="S964">
        <v>12</v>
      </c>
      <c r="T964" t="b">
        <v>0</v>
      </c>
      <c r="U964">
        <v>6</v>
      </c>
      <c r="V964" s="4">
        <v>5.88</v>
      </c>
    </row>
    <row r="965" spans="1:22" hidden="1" x14ac:dyDescent="0.35">
      <c r="A965" t="s">
        <v>28</v>
      </c>
      <c r="B965">
        <v>3</v>
      </c>
      <c r="C965">
        <v>1</v>
      </c>
      <c r="D965">
        <v>2</v>
      </c>
      <c r="E965" t="s">
        <v>22</v>
      </c>
      <c r="F965">
        <v>200</v>
      </c>
      <c r="G965">
        <v>3</v>
      </c>
      <c r="H965">
        <v>20</v>
      </c>
      <c r="I965" t="s">
        <v>26</v>
      </c>
      <c r="J965" s="3">
        <v>57.756889000000001</v>
      </c>
      <c r="K965" s="3">
        <v>17329.107</v>
      </c>
      <c r="L965" s="3">
        <v>19286.454000000002</v>
      </c>
      <c r="M965" s="3">
        <v>17329.107</v>
      </c>
      <c r="N965" s="3">
        <v>17329.107</v>
      </c>
      <c r="O965" s="4">
        <v>0</v>
      </c>
      <c r="P965" s="4">
        <v>11.2951</v>
      </c>
      <c r="Q965" s="4">
        <v>0</v>
      </c>
      <c r="R965" s="5">
        <v>7.3000000000000001E-3</v>
      </c>
      <c r="S965">
        <v>12</v>
      </c>
      <c r="T965" t="b">
        <v>0</v>
      </c>
      <c r="U965">
        <v>6</v>
      </c>
      <c r="V965" s="4">
        <v>18.329999999999998</v>
      </c>
    </row>
    <row r="966" spans="1:22" hidden="1" x14ac:dyDescent="0.35">
      <c r="A966" t="s">
        <v>28</v>
      </c>
      <c r="B966">
        <v>3</v>
      </c>
      <c r="C966">
        <v>1</v>
      </c>
      <c r="D966">
        <v>2</v>
      </c>
      <c r="E966" t="s">
        <v>25</v>
      </c>
      <c r="F966">
        <v>50</v>
      </c>
      <c r="G966">
        <v>1</v>
      </c>
      <c r="H966">
        <v>20</v>
      </c>
      <c r="I966" t="s">
        <v>26</v>
      </c>
      <c r="J966" s="3">
        <v>170.10851400000001</v>
      </c>
      <c r="K966" s="3" t="s">
        <v>24</v>
      </c>
      <c r="L966" s="3" t="s">
        <v>24</v>
      </c>
      <c r="M966" s="3" t="s">
        <v>24</v>
      </c>
      <c r="N966" s="3">
        <v>17329.107</v>
      </c>
      <c r="O966" s="4"/>
      <c r="P966" s="4"/>
      <c r="Q966" s="4"/>
      <c r="R966" s="5">
        <v>0</v>
      </c>
      <c r="S966">
        <v>0</v>
      </c>
      <c r="T966" t="b">
        <v>1</v>
      </c>
      <c r="U966">
        <v>-1</v>
      </c>
      <c r="V966" s="4">
        <v>1.2</v>
      </c>
    </row>
    <row r="967" spans="1:22" hidden="1" x14ac:dyDescent="0.35">
      <c r="A967" t="s">
        <v>28</v>
      </c>
      <c r="B967">
        <v>3</v>
      </c>
      <c r="C967">
        <v>1</v>
      </c>
      <c r="D967">
        <v>2</v>
      </c>
      <c r="E967" t="s">
        <v>25</v>
      </c>
      <c r="F967">
        <v>50</v>
      </c>
      <c r="G967">
        <v>3</v>
      </c>
      <c r="H967">
        <v>20</v>
      </c>
      <c r="I967" t="s">
        <v>26</v>
      </c>
      <c r="J967" s="3">
        <v>165.921502</v>
      </c>
      <c r="K967" s="3" t="s">
        <v>24</v>
      </c>
      <c r="L967" s="3" t="s">
        <v>24</v>
      </c>
      <c r="M967" s="3" t="s">
        <v>24</v>
      </c>
      <c r="N967" s="3">
        <v>17329.107</v>
      </c>
      <c r="O967" s="4"/>
      <c r="P967" s="4"/>
      <c r="Q967" s="4"/>
      <c r="R967" s="5">
        <v>0</v>
      </c>
      <c r="S967">
        <v>0</v>
      </c>
      <c r="T967" t="b">
        <v>1</v>
      </c>
      <c r="U967">
        <v>-1</v>
      </c>
      <c r="V967" s="4">
        <v>2.73</v>
      </c>
    </row>
    <row r="968" spans="1:22" hidden="1" x14ac:dyDescent="0.35">
      <c r="A968" t="s">
        <v>28</v>
      </c>
      <c r="B968">
        <v>3</v>
      </c>
      <c r="C968">
        <v>1</v>
      </c>
      <c r="D968">
        <v>2</v>
      </c>
      <c r="E968" t="s">
        <v>25</v>
      </c>
      <c r="F968">
        <v>200</v>
      </c>
      <c r="G968">
        <v>1</v>
      </c>
      <c r="H968">
        <v>20</v>
      </c>
      <c r="I968" t="s">
        <v>26</v>
      </c>
      <c r="J968" s="3">
        <v>170.10851400000001</v>
      </c>
      <c r="K968" s="3" t="s">
        <v>24</v>
      </c>
      <c r="L968" s="3" t="s">
        <v>24</v>
      </c>
      <c r="M968" s="3" t="s">
        <v>24</v>
      </c>
      <c r="N968" s="3">
        <v>17329.107</v>
      </c>
      <c r="O968" s="4"/>
      <c r="P968" s="4"/>
      <c r="Q968" s="4"/>
      <c r="R968" s="5">
        <v>0</v>
      </c>
      <c r="S968">
        <v>0</v>
      </c>
      <c r="T968" t="b">
        <v>1</v>
      </c>
      <c r="U968">
        <v>-1</v>
      </c>
      <c r="V968" s="4">
        <v>1.2</v>
      </c>
    </row>
    <row r="969" spans="1:22" hidden="1" x14ac:dyDescent="0.35">
      <c r="A969" t="s">
        <v>28</v>
      </c>
      <c r="B969">
        <v>3</v>
      </c>
      <c r="C969">
        <v>1</v>
      </c>
      <c r="D969">
        <v>2</v>
      </c>
      <c r="E969" t="s">
        <v>25</v>
      </c>
      <c r="F969">
        <v>200</v>
      </c>
      <c r="G969">
        <v>3</v>
      </c>
      <c r="H969">
        <v>20</v>
      </c>
      <c r="I969" t="s">
        <v>26</v>
      </c>
      <c r="J969" s="3">
        <v>165.921502</v>
      </c>
      <c r="K969" s="3" t="s">
        <v>24</v>
      </c>
      <c r="L969" s="3" t="s">
        <v>24</v>
      </c>
      <c r="M969" s="3" t="s">
        <v>24</v>
      </c>
      <c r="N969" s="3">
        <v>17329.107</v>
      </c>
      <c r="O969" s="4"/>
      <c r="P969" s="4"/>
      <c r="Q969" s="4"/>
      <c r="R969" s="5">
        <v>0</v>
      </c>
      <c r="S969">
        <v>0</v>
      </c>
      <c r="T969" t="b">
        <v>1</v>
      </c>
      <c r="U969">
        <v>-1</v>
      </c>
      <c r="V969" s="4">
        <v>2.68</v>
      </c>
    </row>
    <row r="970" spans="1:22" hidden="1" x14ac:dyDescent="0.35">
      <c r="A970" t="s">
        <v>28</v>
      </c>
      <c r="B970">
        <v>3</v>
      </c>
      <c r="C970">
        <v>1</v>
      </c>
      <c r="D970">
        <v>5</v>
      </c>
      <c r="E970" t="s">
        <v>22</v>
      </c>
      <c r="F970">
        <v>50</v>
      </c>
      <c r="G970">
        <v>1</v>
      </c>
      <c r="H970">
        <v>20</v>
      </c>
      <c r="I970" t="s">
        <v>26</v>
      </c>
      <c r="J970" s="3">
        <v>142.351068</v>
      </c>
      <c r="K970" s="3">
        <v>17329.107</v>
      </c>
      <c r="L970" s="3">
        <v>20408.087</v>
      </c>
      <c r="M970" s="3">
        <v>17329.107</v>
      </c>
      <c r="N970" s="3">
        <v>17329.107</v>
      </c>
      <c r="O970" s="4">
        <v>0</v>
      </c>
      <c r="P970" s="4">
        <v>17.767700000000001</v>
      </c>
      <c r="Q970" s="4">
        <v>0</v>
      </c>
      <c r="R970" s="5">
        <v>7.0000000000000001E-3</v>
      </c>
      <c r="S970">
        <v>12</v>
      </c>
      <c r="T970" t="b">
        <v>0</v>
      </c>
      <c r="U970">
        <v>7</v>
      </c>
      <c r="V970" s="4">
        <v>7.2</v>
      </c>
    </row>
    <row r="971" spans="1:22" hidden="1" x14ac:dyDescent="0.35">
      <c r="A971" t="s">
        <v>28</v>
      </c>
      <c r="B971">
        <v>3</v>
      </c>
      <c r="C971">
        <v>1</v>
      </c>
      <c r="D971">
        <v>5</v>
      </c>
      <c r="E971" t="s">
        <v>22</v>
      </c>
      <c r="F971">
        <v>50</v>
      </c>
      <c r="G971">
        <v>3</v>
      </c>
      <c r="H971">
        <v>20</v>
      </c>
      <c r="I971" t="s">
        <v>26</v>
      </c>
      <c r="J971" s="3">
        <v>142.351068</v>
      </c>
      <c r="K971" s="3">
        <v>17329.107</v>
      </c>
      <c r="L971" s="3">
        <v>20408.087</v>
      </c>
      <c r="M971" s="3">
        <v>17329.107</v>
      </c>
      <c r="N971" s="3">
        <v>17329.107</v>
      </c>
      <c r="O971" s="4">
        <v>0</v>
      </c>
      <c r="P971" s="4">
        <v>17.767700000000001</v>
      </c>
      <c r="Q971" s="4">
        <v>0</v>
      </c>
      <c r="R971" s="5">
        <v>7.0000000000000001E-3</v>
      </c>
      <c r="S971">
        <v>12</v>
      </c>
      <c r="T971" t="b">
        <v>0</v>
      </c>
      <c r="U971">
        <v>7</v>
      </c>
      <c r="V971" s="4">
        <v>18.309999999999999</v>
      </c>
    </row>
    <row r="972" spans="1:22" hidden="1" x14ac:dyDescent="0.35">
      <c r="A972" t="s">
        <v>28</v>
      </c>
      <c r="B972">
        <v>3</v>
      </c>
      <c r="C972">
        <v>1</v>
      </c>
      <c r="D972">
        <v>5</v>
      </c>
      <c r="E972" t="s">
        <v>22</v>
      </c>
      <c r="F972">
        <v>200</v>
      </c>
      <c r="G972">
        <v>1</v>
      </c>
      <c r="H972">
        <v>20</v>
      </c>
      <c r="I972" t="s">
        <v>26</v>
      </c>
      <c r="J972" s="3">
        <v>142.351068</v>
      </c>
      <c r="K972" s="3">
        <v>17329.107</v>
      </c>
      <c r="L972" s="3">
        <v>20408.087</v>
      </c>
      <c r="M972" s="3">
        <v>17329.107</v>
      </c>
      <c r="N972" s="3">
        <v>17329.107</v>
      </c>
      <c r="O972" s="4">
        <v>0</v>
      </c>
      <c r="P972" s="4">
        <v>17.767700000000001</v>
      </c>
      <c r="Q972" s="4">
        <v>0</v>
      </c>
      <c r="R972" s="5">
        <v>7.0000000000000001E-3</v>
      </c>
      <c r="S972">
        <v>12</v>
      </c>
      <c r="T972" t="b">
        <v>0</v>
      </c>
      <c r="U972">
        <v>7</v>
      </c>
      <c r="V972" s="4">
        <v>7.34</v>
      </c>
    </row>
    <row r="973" spans="1:22" hidden="1" x14ac:dyDescent="0.35">
      <c r="A973" t="s">
        <v>28</v>
      </c>
      <c r="B973">
        <v>3</v>
      </c>
      <c r="C973">
        <v>1</v>
      </c>
      <c r="D973">
        <v>5</v>
      </c>
      <c r="E973" t="s">
        <v>22</v>
      </c>
      <c r="F973">
        <v>200</v>
      </c>
      <c r="G973">
        <v>3</v>
      </c>
      <c r="H973">
        <v>20</v>
      </c>
      <c r="I973" t="s">
        <v>26</v>
      </c>
      <c r="J973" s="3">
        <v>142.351068</v>
      </c>
      <c r="K973" s="3">
        <v>17329.107</v>
      </c>
      <c r="L973" s="3">
        <v>20408.087</v>
      </c>
      <c r="M973" s="3">
        <v>17329.107</v>
      </c>
      <c r="N973" s="3">
        <v>17329.107</v>
      </c>
      <c r="O973" s="4">
        <v>0</v>
      </c>
      <c r="P973" s="4">
        <v>17.767700000000001</v>
      </c>
      <c r="Q973" s="4">
        <v>0</v>
      </c>
      <c r="R973" s="5">
        <v>7.0000000000000001E-3</v>
      </c>
      <c r="S973">
        <v>12</v>
      </c>
      <c r="T973" t="b">
        <v>0</v>
      </c>
      <c r="U973">
        <v>7</v>
      </c>
      <c r="V973" s="4">
        <v>18.190000000000001</v>
      </c>
    </row>
    <row r="974" spans="1:22" hidden="1" x14ac:dyDescent="0.35">
      <c r="A974" t="s">
        <v>28</v>
      </c>
      <c r="B974">
        <v>3</v>
      </c>
      <c r="C974">
        <v>1</v>
      </c>
      <c r="D974">
        <v>5</v>
      </c>
      <c r="E974" t="s">
        <v>25</v>
      </c>
      <c r="F974">
        <v>50</v>
      </c>
      <c r="G974">
        <v>1</v>
      </c>
      <c r="H974">
        <v>20</v>
      </c>
      <c r="I974" t="s">
        <v>26</v>
      </c>
      <c r="J974" s="3">
        <v>418.53519899999998</v>
      </c>
      <c r="K974" s="3">
        <v>18737.439999999999</v>
      </c>
      <c r="L974" s="3">
        <v>19469.175999999999</v>
      </c>
      <c r="M974" s="3">
        <v>18737.439999999999</v>
      </c>
      <c r="N974" s="3">
        <v>17329.107</v>
      </c>
      <c r="O974" s="4">
        <v>8.1270000000000007</v>
      </c>
      <c r="P974" s="4">
        <v>12.349600000000001</v>
      </c>
      <c r="Q974" s="4">
        <v>8.1270000000000007</v>
      </c>
      <c r="R974" s="5">
        <v>2.9999999999999997E-4</v>
      </c>
      <c r="S974">
        <v>3</v>
      </c>
      <c r="T974" t="b">
        <v>0</v>
      </c>
      <c r="U974">
        <v>3</v>
      </c>
      <c r="V974" s="4">
        <v>1.1599999999999999</v>
      </c>
    </row>
    <row r="975" spans="1:22" hidden="1" x14ac:dyDescent="0.35">
      <c r="A975" t="s">
        <v>28</v>
      </c>
      <c r="B975">
        <v>3</v>
      </c>
      <c r="C975">
        <v>1</v>
      </c>
      <c r="D975">
        <v>5</v>
      </c>
      <c r="E975" t="s">
        <v>25</v>
      </c>
      <c r="F975">
        <v>50</v>
      </c>
      <c r="G975">
        <v>3</v>
      </c>
      <c r="H975">
        <v>20</v>
      </c>
      <c r="I975" t="s">
        <v>26</v>
      </c>
      <c r="J975" s="3">
        <v>400.17968000000002</v>
      </c>
      <c r="K975" s="3" t="s">
        <v>24</v>
      </c>
      <c r="L975" s="3" t="s">
        <v>24</v>
      </c>
      <c r="M975" s="3" t="s">
        <v>24</v>
      </c>
      <c r="N975" s="3">
        <v>17329.107</v>
      </c>
      <c r="O975" s="4"/>
      <c r="P975" s="4"/>
      <c r="Q975" s="4"/>
      <c r="R975" s="5">
        <v>0</v>
      </c>
      <c r="S975">
        <v>0</v>
      </c>
      <c r="T975" t="b">
        <v>1</v>
      </c>
      <c r="U975">
        <v>-1</v>
      </c>
      <c r="V975" s="4">
        <v>2.66</v>
      </c>
    </row>
    <row r="976" spans="1:22" hidden="1" x14ac:dyDescent="0.35">
      <c r="A976" t="s">
        <v>28</v>
      </c>
      <c r="B976">
        <v>3</v>
      </c>
      <c r="C976">
        <v>1</v>
      </c>
      <c r="D976">
        <v>5</v>
      </c>
      <c r="E976" t="s">
        <v>25</v>
      </c>
      <c r="F976">
        <v>200</v>
      </c>
      <c r="G976">
        <v>1</v>
      </c>
      <c r="H976">
        <v>20</v>
      </c>
      <c r="I976" t="s">
        <v>26</v>
      </c>
      <c r="J976" s="3">
        <v>418.53519899999998</v>
      </c>
      <c r="K976" s="3">
        <v>18737.439999999999</v>
      </c>
      <c r="L976" s="3">
        <v>19469.175999999999</v>
      </c>
      <c r="M976" s="3">
        <v>18737.439999999999</v>
      </c>
      <c r="N976" s="3">
        <v>17329.107</v>
      </c>
      <c r="O976" s="4">
        <v>8.1270000000000007</v>
      </c>
      <c r="P976" s="4">
        <v>12.349600000000001</v>
      </c>
      <c r="Q976" s="4">
        <v>8.1270000000000007</v>
      </c>
      <c r="R976" s="5">
        <v>2.9999999999999997E-4</v>
      </c>
      <c r="S976">
        <v>3</v>
      </c>
      <c r="T976" t="b">
        <v>0</v>
      </c>
      <c r="U976">
        <v>3</v>
      </c>
      <c r="V976" s="4">
        <v>1.17</v>
      </c>
    </row>
    <row r="977" spans="1:22" hidden="1" x14ac:dyDescent="0.35">
      <c r="A977" t="s">
        <v>28</v>
      </c>
      <c r="B977">
        <v>3</v>
      </c>
      <c r="C977">
        <v>1</v>
      </c>
      <c r="D977">
        <v>5</v>
      </c>
      <c r="E977" t="s">
        <v>25</v>
      </c>
      <c r="F977">
        <v>200</v>
      </c>
      <c r="G977">
        <v>3</v>
      </c>
      <c r="H977">
        <v>20</v>
      </c>
      <c r="I977" t="s">
        <v>26</v>
      </c>
      <c r="J977" s="3">
        <v>400.17968000000002</v>
      </c>
      <c r="K977" s="3" t="s">
        <v>24</v>
      </c>
      <c r="L977" s="3" t="s">
        <v>24</v>
      </c>
      <c r="M977" s="3" t="s">
        <v>24</v>
      </c>
      <c r="N977" s="3">
        <v>17329.107</v>
      </c>
      <c r="O977" s="4"/>
      <c r="P977" s="4"/>
      <c r="Q977" s="4"/>
      <c r="R977" s="5">
        <v>0</v>
      </c>
      <c r="S977">
        <v>0</v>
      </c>
      <c r="T977" t="b">
        <v>1</v>
      </c>
      <c r="U977">
        <v>-1</v>
      </c>
      <c r="V977" s="4">
        <v>2.72</v>
      </c>
    </row>
    <row r="978" spans="1:22" hidden="1" x14ac:dyDescent="0.35">
      <c r="A978" t="s">
        <v>28</v>
      </c>
      <c r="B978">
        <v>3</v>
      </c>
      <c r="C978">
        <v>1</v>
      </c>
      <c r="D978">
        <v>10</v>
      </c>
      <c r="E978" t="s">
        <v>22</v>
      </c>
      <c r="F978">
        <v>50</v>
      </c>
      <c r="G978">
        <v>1</v>
      </c>
      <c r="H978">
        <v>20</v>
      </c>
      <c r="I978" t="s">
        <v>26</v>
      </c>
      <c r="J978" s="3">
        <v>275.90324399999997</v>
      </c>
      <c r="K978" s="3">
        <v>17329.107</v>
      </c>
      <c r="L978" s="3">
        <v>18737.439999999999</v>
      </c>
      <c r="M978" s="3">
        <v>17329.107</v>
      </c>
      <c r="N978" s="3">
        <v>17329.107</v>
      </c>
      <c r="O978" s="4">
        <v>0</v>
      </c>
      <c r="P978" s="4">
        <v>8.1270000000000007</v>
      </c>
      <c r="Q978" s="4">
        <v>0</v>
      </c>
      <c r="R978" s="5">
        <v>3.8999999999999998E-3</v>
      </c>
      <c r="S978">
        <v>11</v>
      </c>
      <c r="T978" t="b">
        <v>0</v>
      </c>
      <c r="U978">
        <v>7</v>
      </c>
      <c r="V978" s="4">
        <v>6.4</v>
      </c>
    </row>
    <row r="979" spans="1:22" hidden="1" x14ac:dyDescent="0.35">
      <c r="A979" t="s">
        <v>28</v>
      </c>
      <c r="B979">
        <v>3</v>
      </c>
      <c r="C979">
        <v>1</v>
      </c>
      <c r="D979">
        <v>10</v>
      </c>
      <c r="E979" t="s">
        <v>22</v>
      </c>
      <c r="F979">
        <v>50</v>
      </c>
      <c r="G979">
        <v>3</v>
      </c>
      <c r="H979">
        <v>20</v>
      </c>
      <c r="I979" t="s">
        <v>26</v>
      </c>
      <c r="J979" s="3">
        <v>275.90324399999997</v>
      </c>
      <c r="K979" s="3">
        <v>17329.107</v>
      </c>
      <c r="L979" s="3">
        <v>18737.439999999999</v>
      </c>
      <c r="M979" s="3">
        <v>17329.107</v>
      </c>
      <c r="N979" s="3">
        <v>17329.107</v>
      </c>
      <c r="O979" s="4">
        <v>0</v>
      </c>
      <c r="P979" s="4">
        <v>8.1270000000000007</v>
      </c>
      <c r="Q979" s="4">
        <v>0</v>
      </c>
      <c r="R979" s="5">
        <v>3.8999999999999998E-3</v>
      </c>
      <c r="S979">
        <v>11</v>
      </c>
      <c r="T979" t="b">
        <v>0</v>
      </c>
      <c r="U979">
        <v>7</v>
      </c>
      <c r="V979" s="4">
        <v>17.04</v>
      </c>
    </row>
    <row r="980" spans="1:22" hidden="1" x14ac:dyDescent="0.35">
      <c r="A980" t="s">
        <v>28</v>
      </c>
      <c r="B980">
        <v>3</v>
      </c>
      <c r="C980">
        <v>1</v>
      </c>
      <c r="D980">
        <v>10</v>
      </c>
      <c r="E980" t="s">
        <v>22</v>
      </c>
      <c r="F980">
        <v>200</v>
      </c>
      <c r="G980">
        <v>1</v>
      </c>
      <c r="H980">
        <v>20</v>
      </c>
      <c r="I980" t="s">
        <v>26</v>
      </c>
      <c r="J980" s="3">
        <v>275.90324399999997</v>
      </c>
      <c r="K980" s="3">
        <v>17329.107</v>
      </c>
      <c r="L980" s="3">
        <v>18737.439999999999</v>
      </c>
      <c r="M980" s="3">
        <v>17329.107</v>
      </c>
      <c r="N980" s="3">
        <v>17329.107</v>
      </c>
      <c r="O980" s="4">
        <v>0</v>
      </c>
      <c r="P980" s="4">
        <v>8.1270000000000007</v>
      </c>
      <c r="Q980" s="4">
        <v>0</v>
      </c>
      <c r="R980" s="5">
        <v>3.8999999999999998E-3</v>
      </c>
      <c r="S980">
        <v>11</v>
      </c>
      <c r="T980" t="b">
        <v>0</v>
      </c>
      <c r="U980">
        <v>7</v>
      </c>
      <c r="V980" s="4">
        <v>6.36</v>
      </c>
    </row>
    <row r="981" spans="1:22" hidden="1" x14ac:dyDescent="0.35">
      <c r="A981" t="s">
        <v>28</v>
      </c>
      <c r="B981">
        <v>3</v>
      </c>
      <c r="C981">
        <v>1</v>
      </c>
      <c r="D981">
        <v>10</v>
      </c>
      <c r="E981" t="s">
        <v>22</v>
      </c>
      <c r="F981">
        <v>200</v>
      </c>
      <c r="G981">
        <v>3</v>
      </c>
      <c r="H981">
        <v>20</v>
      </c>
      <c r="I981" t="s">
        <v>26</v>
      </c>
      <c r="J981" s="3">
        <v>275.90324399999997</v>
      </c>
      <c r="K981" s="3">
        <v>17329.107</v>
      </c>
      <c r="L981" s="3">
        <v>18737.439999999999</v>
      </c>
      <c r="M981" s="3">
        <v>17329.107</v>
      </c>
      <c r="N981" s="3">
        <v>17329.107</v>
      </c>
      <c r="O981" s="4">
        <v>0</v>
      </c>
      <c r="P981" s="4">
        <v>8.1270000000000007</v>
      </c>
      <c r="Q981" s="4">
        <v>0</v>
      </c>
      <c r="R981" s="5">
        <v>3.8999999999999998E-3</v>
      </c>
      <c r="S981">
        <v>11</v>
      </c>
      <c r="T981" t="b">
        <v>0</v>
      </c>
      <c r="U981">
        <v>7</v>
      </c>
      <c r="V981" s="4">
        <v>16.93</v>
      </c>
    </row>
    <row r="982" spans="1:22" hidden="1" x14ac:dyDescent="0.35">
      <c r="A982" t="s">
        <v>28</v>
      </c>
      <c r="B982">
        <v>3</v>
      </c>
      <c r="C982">
        <v>1</v>
      </c>
      <c r="D982">
        <v>10</v>
      </c>
      <c r="E982" t="s">
        <v>25</v>
      </c>
      <c r="F982">
        <v>50</v>
      </c>
      <c r="G982">
        <v>1</v>
      </c>
      <c r="H982">
        <v>20</v>
      </c>
      <c r="I982" t="s">
        <v>26</v>
      </c>
      <c r="J982" s="3">
        <v>836.457267</v>
      </c>
      <c r="K982" s="3">
        <v>17329.107</v>
      </c>
      <c r="L982" s="3">
        <v>17329.107</v>
      </c>
      <c r="M982" s="3">
        <v>17329.107</v>
      </c>
      <c r="N982" s="3">
        <v>17329.107</v>
      </c>
      <c r="O982" s="4">
        <v>0</v>
      </c>
      <c r="P982" s="4">
        <v>0</v>
      </c>
      <c r="Q982" s="4">
        <v>0</v>
      </c>
      <c r="R982" s="5">
        <v>2.9999999999999997E-4</v>
      </c>
      <c r="S982">
        <v>3</v>
      </c>
      <c r="T982" t="b">
        <v>0</v>
      </c>
      <c r="U982">
        <v>1</v>
      </c>
      <c r="V982" s="4">
        <v>1.19</v>
      </c>
    </row>
    <row r="983" spans="1:22" hidden="1" x14ac:dyDescent="0.35">
      <c r="A983" t="s">
        <v>28</v>
      </c>
      <c r="B983">
        <v>3</v>
      </c>
      <c r="C983">
        <v>1</v>
      </c>
      <c r="D983">
        <v>10</v>
      </c>
      <c r="E983" t="s">
        <v>25</v>
      </c>
      <c r="F983">
        <v>50</v>
      </c>
      <c r="G983">
        <v>3</v>
      </c>
      <c r="H983">
        <v>20</v>
      </c>
      <c r="I983" t="s">
        <v>26</v>
      </c>
      <c r="J983" s="3">
        <v>792.91155300000003</v>
      </c>
      <c r="K983" s="3" t="s">
        <v>24</v>
      </c>
      <c r="L983" s="3" t="s">
        <v>24</v>
      </c>
      <c r="M983" s="3" t="s">
        <v>24</v>
      </c>
      <c r="N983" s="3">
        <v>17329.107</v>
      </c>
      <c r="O983" s="4"/>
      <c r="P983" s="4"/>
      <c r="Q983" s="4"/>
      <c r="R983" s="5">
        <v>0</v>
      </c>
      <c r="S983">
        <v>0</v>
      </c>
      <c r="T983" t="b">
        <v>1</v>
      </c>
      <c r="U983">
        <v>-1</v>
      </c>
      <c r="V983" s="4">
        <v>2.69</v>
      </c>
    </row>
    <row r="984" spans="1:22" hidden="1" x14ac:dyDescent="0.35">
      <c r="A984" t="s">
        <v>28</v>
      </c>
      <c r="B984">
        <v>3</v>
      </c>
      <c r="C984">
        <v>1</v>
      </c>
      <c r="D984">
        <v>10</v>
      </c>
      <c r="E984" t="s">
        <v>25</v>
      </c>
      <c r="F984">
        <v>200</v>
      </c>
      <c r="G984">
        <v>1</v>
      </c>
      <c r="H984">
        <v>20</v>
      </c>
      <c r="I984" t="s">
        <v>26</v>
      </c>
      <c r="J984" s="3">
        <v>836.457267</v>
      </c>
      <c r="K984" s="3">
        <v>17329.107</v>
      </c>
      <c r="L984" s="3">
        <v>17329.107</v>
      </c>
      <c r="M984" s="3">
        <v>17329.107</v>
      </c>
      <c r="N984" s="3">
        <v>17329.107</v>
      </c>
      <c r="O984" s="4">
        <v>0</v>
      </c>
      <c r="P984" s="4">
        <v>0</v>
      </c>
      <c r="Q984" s="4">
        <v>0</v>
      </c>
      <c r="R984" s="5">
        <v>2.9999999999999997E-4</v>
      </c>
      <c r="S984">
        <v>3</v>
      </c>
      <c r="T984" t="b">
        <v>0</v>
      </c>
      <c r="U984">
        <v>1</v>
      </c>
      <c r="V984" s="4">
        <v>1.17</v>
      </c>
    </row>
    <row r="985" spans="1:22" hidden="1" x14ac:dyDescent="0.35">
      <c r="A985" t="s">
        <v>28</v>
      </c>
      <c r="B985">
        <v>3</v>
      </c>
      <c r="C985">
        <v>1</v>
      </c>
      <c r="D985">
        <v>10</v>
      </c>
      <c r="E985" t="s">
        <v>25</v>
      </c>
      <c r="F985">
        <v>200</v>
      </c>
      <c r="G985">
        <v>3</v>
      </c>
      <c r="H985">
        <v>20</v>
      </c>
      <c r="I985" t="s">
        <v>26</v>
      </c>
      <c r="J985" s="3">
        <v>792.91155300000003</v>
      </c>
      <c r="K985" s="3" t="s">
        <v>24</v>
      </c>
      <c r="L985" s="3" t="s">
        <v>24</v>
      </c>
      <c r="M985" s="3" t="s">
        <v>24</v>
      </c>
      <c r="N985" s="3">
        <v>17329.107</v>
      </c>
      <c r="O985" s="4"/>
      <c r="P985" s="4"/>
      <c r="Q985" s="4"/>
      <c r="R985" s="5">
        <v>0</v>
      </c>
      <c r="S985">
        <v>0</v>
      </c>
      <c r="T985" t="b">
        <v>1</v>
      </c>
      <c r="U985">
        <v>-1</v>
      </c>
      <c r="V985" s="4">
        <v>2.68</v>
      </c>
    </row>
    <row r="986" spans="1:22" hidden="1" x14ac:dyDescent="0.35">
      <c r="A986" t="s">
        <v>28</v>
      </c>
      <c r="B986">
        <v>3</v>
      </c>
      <c r="C986">
        <v>2</v>
      </c>
      <c r="D986">
        <v>2</v>
      </c>
      <c r="E986" t="s">
        <v>22</v>
      </c>
      <c r="F986">
        <v>50</v>
      </c>
      <c r="G986">
        <v>1</v>
      </c>
      <c r="H986">
        <v>20</v>
      </c>
      <c r="I986" t="s">
        <v>26</v>
      </c>
      <c r="J986" s="3">
        <v>76.252483999999995</v>
      </c>
      <c r="K986" s="3">
        <v>17329.107</v>
      </c>
      <c r="L986" s="3">
        <v>19286.454000000002</v>
      </c>
      <c r="M986" s="3">
        <v>17329.107</v>
      </c>
      <c r="N986" s="3">
        <v>17329.107</v>
      </c>
      <c r="O986" s="4">
        <v>0</v>
      </c>
      <c r="P986" s="4">
        <v>11.2951</v>
      </c>
      <c r="Q986" s="4">
        <v>0</v>
      </c>
      <c r="R986" s="5">
        <v>8.0000000000000004E-4</v>
      </c>
      <c r="S986">
        <v>8</v>
      </c>
      <c r="T986" t="b">
        <v>0</v>
      </c>
      <c r="U986">
        <v>2</v>
      </c>
      <c r="V986" s="4">
        <v>9.57</v>
      </c>
    </row>
    <row r="987" spans="1:22" hidden="1" x14ac:dyDescent="0.35">
      <c r="A987" t="s">
        <v>28</v>
      </c>
      <c r="B987">
        <v>3</v>
      </c>
      <c r="C987">
        <v>2</v>
      </c>
      <c r="D987">
        <v>2</v>
      </c>
      <c r="E987" t="s">
        <v>22</v>
      </c>
      <c r="F987">
        <v>50</v>
      </c>
      <c r="G987">
        <v>3</v>
      </c>
      <c r="H987">
        <v>20</v>
      </c>
      <c r="I987" t="s">
        <v>26</v>
      </c>
      <c r="J987" s="3">
        <v>63.392184</v>
      </c>
      <c r="K987" s="3">
        <v>17329.107</v>
      </c>
      <c r="L987" s="3">
        <v>19286.454000000002</v>
      </c>
      <c r="M987" s="3">
        <v>17329.107</v>
      </c>
      <c r="N987" s="3">
        <v>17329.107</v>
      </c>
      <c r="O987" s="4">
        <v>0</v>
      </c>
      <c r="P987" s="4">
        <v>11.2951</v>
      </c>
      <c r="Q987" s="4">
        <v>0</v>
      </c>
      <c r="R987" s="5">
        <v>2.3E-3</v>
      </c>
      <c r="S987">
        <v>10</v>
      </c>
      <c r="T987" t="b">
        <v>0</v>
      </c>
      <c r="U987">
        <v>9</v>
      </c>
      <c r="V987" s="4">
        <v>29.33</v>
      </c>
    </row>
    <row r="988" spans="1:22" hidden="1" x14ac:dyDescent="0.35">
      <c r="A988" t="s">
        <v>28</v>
      </c>
      <c r="B988">
        <v>3</v>
      </c>
      <c r="C988">
        <v>2</v>
      </c>
      <c r="D988">
        <v>2</v>
      </c>
      <c r="E988" t="s">
        <v>22</v>
      </c>
      <c r="F988">
        <v>200</v>
      </c>
      <c r="G988">
        <v>1</v>
      </c>
      <c r="H988">
        <v>20</v>
      </c>
      <c r="I988" t="s">
        <v>26</v>
      </c>
      <c r="J988" s="3">
        <v>76.252483999999995</v>
      </c>
      <c r="K988" s="3">
        <v>17329.107</v>
      </c>
      <c r="L988" s="3">
        <v>19286.454000000002</v>
      </c>
      <c r="M988" s="3">
        <v>17329.107</v>
      </c>
      <c r="N988" s="3">
        <v>17329.107</v>
      </c>
      <c r="O988" s="4">
        <v>0</v>
      </c>
      <c r="P988" s="4">
        <v>11.2951</v>
      </c>
      <c r="Q988" s="4">
        <v>0</v>
      </c>
      <c r="R988" s="5">
        <v>8.0000000000000004E-4</v>
      </c>
      <c r="S988">
        <v>8</v>
      </c>
      <c r="T988" t="b">
        <v>0</v>
      </c>
      <c r="U988">
        <v>2</v>
      </c>
      <c r="V988" s="4">
        <v>9.6199999999999992</v>
      </c>
    </row>
    <row r="989" spans="1:22" hidden="1" x14ac:dyDescent="0.35">
      <c r="A989" t="s">
        <v>28</v>
      </c>
      <c r="B989">
        <v>3</v>
      </c>
      <c r="C989">
        <v>2</v>
      </c>
      <c r="D989">
        <v>2</v>
      </c>
      <c r="E989" t="s">
        <v>22</v>
      </c>
      <c r="F989">
        <v>200</v>
      </c>
      <c r="G989">
        <v>3</v>
      </c>
      <c r="H989">
        <v>20</v>
      </c>
      <c r="I989" t="s">
        <v>26</v>
      </c>
      <c r="J989" s="3">
        <v>63.392184</v>
      </c>
      <c r="K989" s="3">
        <v>17329.107</v>
      </c>
      <c r="L989" s="3">
        <v>19286.454000000002</v>
      </c>
      <c r="M989" s="3">
        <v>17329.107</v>
      </c>
      <c r="N989" s="3">
        <v>17329.107</v>
      </c>
      <c r="O989" s="4">
        <v>0</v>
      </c>
      <c r="P989" s="4">
        <v>11.2951</v>
      </c>
      <c r="Q989" s="4">
        <v>0</v>
      </c>
      <c r="R989" s="5">
        <v>2.3E-3</v>
      </c>
      <c r="S989">
        <v>10</v>
      </c>
      <c r="T989" t="b">
        <v>0</v>
      </c>
      <c r="U989">
        <v>9</v>
      </c>
      <c r="V989" s="4">
        <v>29.36</v>
      </c>
    </row>
    <row r="990" spans="1:22" hidden="1" x14ac:dyDescent="0.35">
      <c r="A990" t="s">
        <v>28</v>
      </c>
      <c r="B990">
        <v>3</v>
      </c>
      <c r="C990">
        <v>2</v>
      </c>
      <c r="D990">
        <v>2</v>
      </c>
      <c r="E990" t="s">
        <v>25</v>
      </c>
      <c r="F990">
        <v>50</v>
      </c>
      <c r="G990">
        <v>1</v>
      </c>
      <c r="H990">
        <v>20</v>
      </c>
      <c r="I990" t="s">
        <v>26</v>
      </c>
      <c r="J990" s="3">
        <v>164.21285900000001</v>
      </c>
      <c r="K990" s="3">
        <v>17329.107</v>
      </c>
      <c r="L990" s="3">
        <v>17329.107</v>
      </c>
      <c r="M990" s="3">
        <v>17329.107</v>
      </c>
      <c r="N990" s="3">
        <v>17329.107</v>
      </c>
      <c r="O990" s="4">
        <v>0</v>
      </c>
      <c r="P990" s="4">
        <v>0</v>
      </c>
      <c r="Q990" s="4">
        <v>0</v>
      </c>
      <c r="R990" s="5">
        <v>1E-4</v>
      </c>
      <c r="S990">
        <v>1</v>
      </c>
      <c r="T990" t="b">
        <v>0</v>
      </c>
      <c r="U990">
        <v>1</v>
      </c>
      <c r="V990" s="4">
        <v>1.96</v>
      </c>
    </row>
    <row r="991" spans="1:22" hidden="1" x14ac:dyDescent="0.35">
      <c r="A991" t="s">
        <v>28</v>
      </c>
      <c r="B991">
        <v>3</v>
      </c>
      <c r="C991">
        <v>2</v>
      </c>
      <c r="D991">
        <v>2</v>
      </c>
      <c r="E991" t="s">
        <v>25</v>
      </c>
      <c r="F991">
        <v>50</v>
      </c>
      <c r="G991">
        <v>3</v>
      </c>
      <c r="H991">
        <v>20</v>
      </c>
      <c r="I991" t="s">
        <v>26</v>
      </c>
      <c r="J991" s="3">
        <v>135.22720799999999</v>
      </c>
      <c r="K991" s="3">
        <v>18418.167000000001</v>
      </c>
      <c r="L991" s="3">
        <v>20408.087</v>
      </c>
      <c r="M991" s="3">
        <v>18418.167000000001</v>
      </c>
      <c r="N991" s="3">
        <v>17329.107</v>
      </c>
      <c r="O991" s="4">
        <v>6.2846000000000002</v>
      </c>
      <c r="P991" s="4">
        <v>17.767700000000001</v>
      </c>
      <c r="Q991" s="4">
        <v>6.2846000000000002</v>
      </c>
      <c r="R991" s="5">
        <v>1.9E-3</v>
      </c>
      <c r="S991">
        <v>9</v>
      </c>
      <c r="T991" t="b">
        <v>0</v>
      </c>
      <c r="U991">
        <v>8</v>
      </c>
      <c r="V991" s="4">
        <v>4.96</v>
      </c>
    </row>
    <row r="992" spans="1:22" hidden="1" x14ac:dyDescent="0.35">
      <c r="A992" t="s">
        <v>28</v>
      </c>
      <c r="B992">
        <v>3</v>
      </c>
      <c r="C992">
        <v>2</v>
      </c>
      <c r="D992">
        <v>2</v>
      </c>
      <c r="E992" t="s">
        <v>25</v>
      </c>
      <c r="F992">
        <v>200</v>
      </c>
      <c r="G992">
        <v>1</v>
      </c>
      <c r="H992">
        <v>20</v>
      </c>
      <c r="I992" t="s">
        <v>26</v>
      </c>
      <c r="J992" s="3">
        <v>164.21285900000001</v>
      </c>
      <c r="K992" s="3">
        <v>17329.107</v>
      </c>
      <c r="L992" s="3">
        <v>17329.107</v>
      </c>
      <c r="M992" s="3">
        <v>17329.107</v>
      </c>
      <c r="N992" s="3">
        <v>17329.107</v>
      </c>
      <c r="O992" s="4">
        <v>0</v>
      </c>
      <c r="P992" s="4">
        <v>0</v>
      </c>
      <c r="Q992" s="4">
        <v>0</v>
      </c>
      <c r="R992" s="5">
        <v>1E-4</v>
      </c>
      <c r="S992">
        <v>1</v>
      </c>
      <c r="T992" t="b">
        <v>0</v>
      </c>
      <c r="U992">
        <v>1</v>
      </c>
      <c r="V992" s="4">
        <v>1.89</v>
      </c>
    </row>
    <row r="993" spans="1:22" hidden="1" x14ac:dyDescent="0.35">
      <c r="A993" t="s">
        <v>28</v>
      </c>
      <c r="B993">
        <v>3</v>
      </c>
      <c r="C993">
        <v>2</v>
      </c>
      <c r="D993">
        <v>2</v>
      </c>
      <c r="E993" t="s">
        <v>25</v>
      </c>
      <c r="F993">
        <v>200</v>
      </c>
      <c r="G993">
        <v>3</v>
      </c>
      <c r="H993">
        <v>20</v>
      </c>
      <c r="I993" t="s">
        <v>26</v>
      </c>
      <c r="J993" s="3">
        <v>135.22720799999999</v>
      </c>
      <c r="K993" s="3">
        <v>18418.167000000001</v>
      </c>
      <c r="L993" s="3">
        <v>20408.087</v>
      </c>
      <c r="M993" s="3">
        <v>18418.167000000001</v>
      </c>
      <c r="N993" s="3">
        <v>17329.107</v>
      </c>
      <c r="O993" s="4">
        <v>6.2846000000000002</v>
      </c>
      <c r="P993" s="4">
        <v>17.767700000000001</v>
      </c>
      <c r="Q993" s="4">
        <v>6.2846000000000002</v>
      </c>
      <c r="R993" s="5">
        <v>1.9E-3</v>
      </c>
      <c r="S993">
        <v>9</v>
      </c>
      <c r="T993" t="b">
        <v>0</v>
      </c>
      <c r="U993">
        <v>8</v>
      </c>
      <c r="V993" s="4">
        <v>4.72</v>
      </c>
    </row>
    <row r="994" spans="1:22" hidden="1" x14ac:dyDescent="0.35">
      <c r="A994" t="s">
        <v>28</v>
      </c>
      <c r="B994">
        <v>3</v>
      </c>
      <c r="C994">
        <v>2</v>
      </c>
      <c r="D994">
        <v>5</v>
      </c>
      <c r="E994" t="s">
        <v>22</v>
      </c>
      <c r="F994">
        <v>50</v>
      </c>
      <c r="G994">
        <v>1</v>
      </c>
      <c r="H994">
        <v>20</v>
      </c>
      <c r="I994" t="s">
        <v>26</v>
      </c>
      <c r="J994" s="3">
        <v>159.89012099999999</v>
      </c>
      <c r="K994" s="3">
        <v>17329.107</v>
      </c>
      <c r="L994" s="3">
        <v>20408.087</v>
      </c>
      <c r="M994" s="3">
        <v>17329.107</v>
      </c>
      <c r="N994" s="3">
        <v>17329.107</v>
      </c>
      <c r="O994" s="4">
        <v>0</v>
      </c>
      <c r="P994" s="4">
        <v>17.767700000000001</v>
      </c>
      <c r="Q994" s="4">
        <v>0</v>
      </c>
      <c r="R994" s="5">
        <v>3.5000000000000001E-3</v>
      </c>
      <c r="S994">
        <v>12</v>
      </c>
      <c r="T994" t="b">
        <v>0</v>
      </c>
      <c r="U994">
        <v>2</v>
      </c>
      <c r="V994" s="4">
        <v>10.33</v>
      </c>
    </row>
    <row r="995" spans="1:22" hidden="1" x14ac:dyDescent="0.35">
      <c r="A995" t="s">
        <v>28</v>
      </c>
      <c r="B995">
        <v>3</v>
      </c>
      <c r="C995">
        <v>2</v>
      </c>
      <c r="D995">
        <v>5</v>
      </c>
      <c r="E995" t="s">
        <v>22</v>
      </c>
      <c r="F995">
        <v>50</v>
      </c>
      <c r="G995">
        <v>3</v>
      </c>
      <c r="H995">
        <v>20</v>
      </c>
      <c r="I995" t="s">
        <v>26</v>
      </c>
      <c r="J995" s="3">
        <v>132.26919100000001</v>
      </c>
      <c r="K995" s="3">
        <v>17329.107</v>
      </c>
      <c r="L995" s="3">
        <v>19286.454000000002</v>
      </c>
      <c r="M995" s="3">
        <v>17329.107</v>
      </c>
      <c r="N995" s="3">
        <v>17329.107</v>
      </c>
      <c r="O995" s="4">
        <v>0</v>
      </c>
      <c r="P995" s="4">
        <v>11.2951</v>
      </c>
      <c r="Q995" s="4">
        <v>0</v>
      </c>
      <c r="R995" s="5">
        <v>5.8999999999999999E-3</v>
      </c>
      <c r="S995">
        <v>12</v>
      </c>
      <c r="T995" t="b">
        <v>0</v>
      </c>
      <c r="U995">
        <v>12</v>
      </c>
      <c r="V995" s="4">
        <v>31.22</v>
      </c>
    </row>
    <row r="996" spans="1:22" hidden="1" x14ac:dyDescent="0.35">
      <c r="A996" t="s">
        <v>28</v>
      </c>
      <c r="B996">
        <v>3</v>
      </c>
      <c r="C996">
        <v>2</v>
      </c>
      <c r="D996">
        <v>5</v>
      </c>
      <c r="E996" t="s">
        <v>22</v>
      </c>
      <c r="F996">
        <v>200</v>
      </c>
      <c r="G996">
        <v>1</v>
      </c>
      <c r="H996">
        <v>20</v>
      </c>
      <c r="I996" t="s">
        <v>26</v>
      </c>
      <c r="J996" s="3">
        <v>159.89012099999999</v>
      </c>
      <c r="K996" s="3">
        <v>17329.107</v>
      </c>
      <c r="L996" s="3">
        <v>20408.087</v>
      </c>
      <c r="M996" s="3">
        <v>17329.107</v>
      </c>
      <c r="N996" s="3">
        <v>17329.107</v>
      </c>
      <c r="O996" s="4">
        <v>0</v>
      </c>
      <c r="P996" s="4">
        <v>17.767700000000001</v>
      </c>
      <c r="Q996" s="4">
        <v>0</v>
      </c>
      <c r="R996" s="5">
        <v>3.5000000000000001E-3</v>
      </c>
      <c r="S996">
        <v>12</v>
      </c>
      <c r="T996" t="b">
        <v>0</v>
      </c>
      <c r="U996">
        <v>2</v>
      </c>
      <c r="V996" s="4">
        <v>10.55</v>
      </c>
    </row>
    <row r="997" spans="1:22" hidden="1" x14ac:dyDescent="0.35">
      <c r="A997" t="s">
        <v>28</v>
      </c>
      <c r="B997">
        <v>3</v>
      </c>
      <c r="C997">
        <v>2</v>
      </c>
      <c r="D997">
        <v>5</v>
      </c>
      <c r="E997" t="s">
        <v>22</v>
      </c>
      <c r="F997">
        <v>200</v>
      </c>
      <c r="G997">
        <v>3</v>
      </c>
      <c r="H997">
        <v>20</v>
      </c>
      <c r="I997" t="s">
        <v>26</v>
      </c>
      <c r="J997" s="3">
        <v>132.26919100000001</v>
      </c>
      <c r="K997" s="3">
        <v>17329.107</v>
      </c>
      <c r="L997" s="3">
        <v>19286.454000000002</v>
      </c>
      <c r="M997" s="3">
        <v>17329.107</v>
      </c>
      <c r="N997" s="3">
        <v>17329.107</v>
      </c>
      <c r="O997" s="4">
        <v>0</v>
      </c>
      <c r="P997" s="4">
        <v>11.2951</v>
      </c>
      <c r="Q997" s="4">
        <v>0</v>
      </c>
      <c r="R997" s="5">
        <v>5.8999999999999999E-3</v>
      </c>
      <c r="S997">
        <v>12</v>
      </c>
      <c r="T997" t="b">
        <v>0</v>
      </c>
      <c r="U997">
        <v>12</v>
      </c>
      <c r="V997" s="4">
        <v>31.26</v>
      </c>
    </row>
    <row r="998" spans="1:22" hidden="1" x14ac:dyDescent="0.35">
      <c r="A998" t="s">
        <v>28</v>
      </c>
      <c r="B998">
        <v>3</v>
      </c>
      <c r="C998">
        <v>2</v>
      </c>
      <c r="D998">
        <v>5</v>
      </c>
      <c r="E998" t="s">
        <v>25</v>
      </c>
      <c r="F998">
        <v>50</v>
      </c>
      <c r="G998">
        <v>1</v>
      </c>
      <c r="H998">
        <v>20</v>
      </c>
      <c r="I998" t="s">
        <v>26</v>
      </c>
      <c r="J998" s="3">
        <v>405.20637099999999</v>
      </c>
      <c r="K998" s="3" t="s">
        <v>24</v>
      </c>
      <c r="L998" s="3" t="s">
        <v>24</v>
      </c>
      <c r="M998" s="3" t="s">
        <v>24</v>
      </c>
      <c r="N998" s="3">
        <v>17329.107</v>
      </c>
      <c r="O998" s="4"/>
      <c r="P998" s="4"/>
      <c r="Q998" s="4"/>
      <c r="R998" s="5">
        <v>0</v>
      </c>
      <c r="S998">
        <v>0</v>
      </c>
      <c r="T998" t="b">
        <v>1</v>
      </c>
      <c r="U998">
        <v>-1</v>
      </c>
      <c r="V998" s="4">
        <v>1.92</v>
      </c>
    </row>
    <row r="999" spans="1:22" hidden="1" x14ac:dyDescent="0.35">
      <c r="A999" t="s">
        <v>28</v>
      </c>
      <c r="B999">
        <v>3</v>
      </c>
      <c r="C999">
        <v>2</v>
      </c>
      <c r="D999">
        <v>5</v>
      </c>
      <c r="E999" t="s">
        <v>25</v>
      </c>
      <c r="F999">
        <v>50</v>
      </c>
      <c r="G999">
        <v>3</v>
      </c>
      <c r="H999">
        <v>20</v>
      </c>
      <c r="I999" t="s">
        <v>26</v>
      </c>
      <c r="J999" s="3">
        <v>319.13860499999998</v>
      </c>
      <c r="K999" s="3">
        <v>17329.107</v>
      </c>
      <c r="L999" s="3">
        <v>19286.454000000002</v>
      </c>
      <c r="M999" s="3">
        <v>17329.107</v>
      </c>
      <c r="N999" s="3">
        <v>17329.107</v>
      </c>
      <c r="O999" s="4">
        <v>0</v>
      </c>
      <c r="P999" s="4">
        <v>11.2951</v>
      </c>
      <c r="Q999" s="4">
        <v>0</v>
      </c>
      <c r="R999" s="5">
        <v>2.8999999999999998E-3</v>
      </c>
      <c r="S999">
        <v>11</v>
      </c>
      <c r="T999" t="b">
        <v>0</v>
      </c>
      <c r="U999">
        <v>6</v>
      </c>
      <c r="V999" s="4">
        <v>4.74</v>
      </c>
    </row>
    <row r="1000" spans="1:22" hidden="1" x14ac:dyDescent="0.35">
      <c r="A1000" t="s">
        <v>28</v>
      </c>
      <c r="B1000">
        <v>3</v>
      </c>
      <c r="C1000">
        <v>2</v>
      </c>
      <c r="D1000">
        <v>5</v>
      </c>
      <c r="E1000" t="s">
        <v>25</v>
      </c>
      <c r="F1000">
        <v>200</v>
      </c>
      <c r="G1000">
        <v>1</v>
      </c>
      <c r="H1000">
        <v>20</v>
      </c>
      <c r="I1000" t="s">
        <v>26</v>
      </c>
      <c r="J1000" s="3">
        <v>405.20637099999999</v>
      </c>
      <c r="K1000" s="3" t="s">
        <v>24</v>
      </c>
      <c r="L1000" s="3" t="s">
        <v>24</v>
      </c>
      <c r="M1000" s="3" t="s">
        <v>24</v>
      </c>
      <c r="N1000" s="3">
        <v>17329.107</v>
      </c>
      <c r="O1000" s="4"/>
      <c r="P1000" s="4"/>
      <c r="Q1000" s="4"/>
      <c r="R1000" s="5">
        <v>0</v>
      </c>
      <c r="S1000">
        <v>0</v>
      </c>
      <c r="T1000" t="b">
        <v>1</v>
      </c>
      <c r="U1000">
        <v>-1</v>
      </c>
      <c r="V1000" s="4">
        <v>2</v>
      </c>
    </row>
    <row r="1001" spans="1:22" hidden="1" x14ac:dyDescent="0.35">
      <c r="A1001" t="s">
        <v>28</v>
      </c>
      <c r="B1001">
        <v>3</v>
      </c>
      <c r="C1001">
        <v>2</v>
      </c>
      <c r="D1001">
        <v>5</v>
      </c>
      <c r="E1001" t="s">
        <v>25</v>
      </c>
      <c r="F1001">
        <v>200</v>
      </c>
      <c r="G1001">
        <v>3</v>
      </c>
      <c r="H1001">
        <v>20</v>
      </c>
      <c r="I1001" t="s">
        <v>26</v>
      </c>
      <c r="J1001" s="3">
        <v>319.13860499999998</v>
      </c>
      <c r="K1001" s="3">
        <v>17329.107</v>
      </c>
      <c r="L1001" s="3">
        <v>19286.454000000002</v>
      </c>
      <c r="M1001" s="3">
        <v>17329.107</v>
      </c>
      <c r="N1001" s="3">
        <v>17329.107</v>
      </c>
      <c r="O1001" s="4">
        <v>0</v>
      </c>
      <c r="P1001" s="4">
        <v>11.2951</v>
      </c>
      <c r="Q1001" s="4">
        <v>0</v>
      </c>
      <c r="R1001" s="5">
        <v>2.8999999999999998E-3</v>
      </c>
      <c r="S1001">
        <v>11</v>
      </c>
      <c r="T1001" t="b">
        <v>0</v>
      </c>
      <c r="U1001">
        <v>6</v>
      </c>
      <c r="V1001" s="4">
        <v>4.78</v>
      </c>
    </row>
    <row r="1002" spans="1:22" hidden="1" x14ac:dyDescent="0.35">
      <c r="A1002" t="s">
        <v>28</v>
      </c>
      <c r="B1002">
        <v>3</v>
      </c>
      <c r="C1002">
        <v>2</v>
      </c>
      <c r="D1002">
        <v>10</v>
      </c>
      <c r="E1002" t="s">
        <v>22</v>
      </c>
      <c r="F1002">
        <v>50</v>
      </c>
      <c r="G1002">
        <v>1</v>
      </c>
      <c r="H1002">
        <v>20</v>
      </c>
      <c r="I1002" t="s">
        <v>26</v>
      </c>
      <c r="J1002" s="3">
        <v>297.35990500000003</v>
      </c>
      <c r="K1002" s="3">
        <v>17329.107</v>
      </c>
      <c r="L1002" s="3">
        <v>18737.439999999999</v>
      </c>
      <c r="M1002" s="3">
        <v>17329.107</v>
      </c>
      <c r="N1002" s="3">
        <v>17329.107</v>
      </c>
      <c r="O1002" s="4">
        <v>0</v>
      </c>
      <c r="P1002" s="4">
        <v>8.1270000000000007</v>
      </c>
      <c r="Q1002" s="4">
        <v>0</v>
      </c>
      <c r="R1002" s="5">
        <v>1.5E-3</v>
      </c>
      <c r="S1002">
        <v>9</v>
      </c>
      <c r="T1002" t="b">
        <v>0</v>
      </c>
      <c r="U1002">
        <v>4</v>
      </c>
      <c r="V1002" s="4">
        <v>10.16</v>
      </c>
    </row>
    <row r="1003" spans="1:22" hidden="1" x14ac:dyDescent="0.35">
      <c r="A1003" t="s">
        <v>28</v>
      </c>
      <c r="B1003">
        <v>3</v>
      </c>
      <c r="C1003">
        <v>2</v>
      </c>
      <c r="D1003">
        <v>10</v>
      </c>
      <c r="E1003" t="s">
        <v>22</v>
      </c>
      <c r="F1003">
        <v>50</v>
      </c>
      <c r="G1003">
        <v>3</v>
      </c>
      <c r="H1003">
        <v>20</v>
      </c>
      <c r="I1003" t="s">
        <v>26</v>
      </c>
      <c r="J1003" s="3">
        <v>206.32015799999999</v>
      </c>
      <c r="K1003" s="3">
        <v>17329.107</v>
      </c>
      <c r="L1003" s="3">
        <v>17329.107</v>
      </c>
      <c r="M1003" s="3">
        <v>17329.107</v>
      </c>
      <c r="N1003" s="3">
        <v>17329.107</v>
      </c>
      <c r="O1003" s="4">
        <v>0</v>
      </c>
      <c r="P1003" s="4">
        <v>0</v>
      </c>
      <c r="Q1003" s="4">
        <v>0</v>
      </c>
      <c r="R1003" s="5">
        <v>1.7500000000000002E-2</v>
      </c>
      <c r="S1003">
        <v>12</v>
      </c>
      <c r="T1003" t="b">
        <v>0</v>
      </c>
      <c r="U1003">
        <v>1</v>
      </c>
      <c r="V1003" s="4">
        <v>33.94</v>
      </c>
    </row>
    <row r="1004" spans="1:22" hidden="1" x14ac:dyDescent="0.35">
      <c r="A1004" t="s">
        <v>28</v>
      </c>
      <c r="B1004">
        <v>3</v>
      </c>
      <c r="C1004">
        <v>2</v>
      </c>
      <c r="D1004">
        <v>10</v>
      </c>
      <c r="E1004" t="s">
        <v>22</v>
      </c>
      <c r="F1004">
        <v>200</v>
      </c>
      <c r="G1004">
        <v>1</v>
      </c>
      <c r="H1004">
        <v>20</v>
      </c>
      <c r="I1004" t="s">
        <v>26</v>
      </c>
      <c r="J1004" s="3">
        <v>297.35990500000003</v>
      </c>
      <c r="K1004" s="3">
        <v>17329.107</v>
      </c>
      <c r="L1004" s="3">
        <v>18737.439999999999</v>
      </c>
      <c r="M1004" s="3">
        <v>17329.107</v>
      </c>
      <c r="N1004" s="3">
        <v>17329.107</v>
      </c>
      <c r="O1004" s="4">
        <v>0</v>
      </c>
      <c r="P1004" s="4">
        <v>8.1270000000000007</v>
      </c>
      <c r="Q1004" s="4">
        <v>0</v>
      </c>
      <c r="R1004" s="5">
        <v>1.5E-3</v>
      </c>
      <c r="S1004">
        <v>9</v>
      </c>
      <c r="T1004" t="b">
        <v>0</v>
      </c>
      <c r="U1004">
        <v>4</v>
      </c>
      <c r="V1004" s="4">
        <v>10.050000000000001</v>
      </c>
    </row>
    <row r="1005" spans="1:22" hidden="1" x14ac:dyDescent="0.35">
      <c r="A1005" t="s">
        <v>28</v>
      </c>
      <c r="B1005">
        <v>3</v>
      </c>
      <c r="C1005">
        <v>2</v>
      </c>
      <c r="D1005">
        <v>10</v>
      </c>
      <c r="E1005" t="s">
        <v>22</v>
      </c>
      <c r="F1005">
        <v>200</v>
      </c>
      <c r="G1005">
        <v>3</v>
      </c>
      <c r="H1005">
        <v>20</v>
      </c>
      <c r="I1005" t="s">
        <v>26</v>
      </c>
      <c r="J1005" s="3">
        <v>206.32015799999999</v>
      </c>
      <c r="K1005" s="3">
        <v>17329.107</v>
      </c>
      <c r="L1005" s="3">
        <v>17329.107</v>
      </c>
      <c r="M1005" s="3">
        <v>17329.107</v>
      </c>
      <c r="N1005" s="3">
        <v>17329.107</v>
      </c>
      <c r="O1005" s="4">
        <v>0</v>
      </c>
      <c r="P1005" s="4">
        <v>0</v>
      </c>
      <c r="Q1005" s="4">
        <v>0</v>
      </c>
      <c r="R1005" s="5">
        <v>1.7500000000000002E-2</v>
      </c>
      <c r="S1005">
        <v>12</v>
      </c>
      <c r="T1005" t="b">
        <v>0</v>
      </c>
      <c r="U1005">
        <v>1</v>
      </c>
      <c r="V1005" s="4">
        <v>34.840000000000003</v>
      </c>
    </row>
    <row r="1006" spans="1:22" hidden="1" x14ac:dyDescent="0.35">
      <c r="A1006" t="s">
        <v>28</v>
      </c>
      <c r="B1006">
        <v>3</v>
      </c>
      <c r="C1006">
        <v>2</v>
      </c>
      <c r="D1006">
        <v>10</v>
      </c>
      <c r="E1006" t="s">
        <v>25</v>
      </c>
      <c r="F1006">
        <v>50</v>
      </c>
      <c r="G1006">
        <v>1</v>
      </c>
      <c r="H1006">
        <v>20</v>
      </c>
      <c r="I1006" t="s">
        <v>26</v>
      </c>
      <c r="J1006" s="3">
        <v>809.70061599999997</v>
      </c>
      <c r="K1006" s="3" t="s">
        <v>24</v>
      </c>
      <c r="L1006" s="3" t="s">
        <v>24</v>
      </c>
      <c r="M1006" s="3" t="s">
        <v>24</v>
      </c>
      <c r="N1006" s="3">
        <v>17329.107</v>
      </c>
      <c r="O1006" s="4"/>
      <c r="P1006" s="4"/>
      <c r="Q1006" s="4"/>
      <c r="R1006" s="5">
        <v>0</v>
      </c>
      <c r="S1006">
        <v>0</v>
      </c>
      <c r="T1006" t="b">
        <v>1</v>
      </c>
      <c r="U1006">
        <v>-1</v>
      </c>
      <c r="V1006" s="4">
        <v>1.92</v>
      </c>
    </row>
    <row r="1007" spans="1:22" hidden="1" x14ac:dyDescent="0.35">
      <c r="A1007" t="s">
        <v>28</v>
      </c>
      <c r="B1007">
        <v>3</v>
      </c>
      <c r="C1007">
        <v>2</v>
      </c>
      <c r="D1007">
        <v>10</v>
      </c>
      <c r="E1007" t="s">
        <v>25</v>
      </c>
      <c r="F1007">
        <v>50</v>
      </c>
      <c r="G1007">
        <v>3</v>
      </c>
      <c r="H1007">
        <v>20</v>
      </c>
      <c r="I1007" t="s">
        <v>26</v>
      </c>
      <c r="J1007" s="3">
        <v>608.67894699999999</v>
      </c>
      <c r="K1007" s="3">
        <v>18418.167000000001</v>
      </c>
      <c r="L1007" s="3">
        <v>19469.175999999999</v>
      </c>
      <c r="M1007" s="3">
        <v>17329.107</v>
      </c>
      <c r="N1007" s="3">
        <v>17329.107</v>
      </c>
      <c r="O1007" s="4">
        <v>6.2846000000000002</v>
      </c>
      <c r="P1007" s="4">
        <v>12.349600000000001</v>
      </c>
      <c r="Q1007" s="4">
        <v>0</v>
      </c>
      <c r="R1007" s="5">
        <v>2.5000000000000001E-3</v>
      </c>
      <c r="S1007">
        <v>11</v>
      </c>
      <c r="T1007" t="b">
        <v>0</v>
      </c>
      <c r="U1007">
        <v>11</v>
      </c>
      <c r="V1007" s="4">
        <v>4.8600000000000003</v>
      </c>
    </row>
    <row r="1008" spans="1:22" hidden="1" x14ac:dyDescent="0.35">
      <c r="A1008" t="s">
        <v>28</v>
      </c>
      <c r="B1008">
        <v>3</v>
      </c>
      <c r="C1008">
        <v>2</v>
      </c>
      <c r="D1008">
        <v>10</v>
      </c>
      <c r="E1008" t="s">
        <v>25</v>
      </c>
      <c r="F1008">
        <v>200</v>
      </c>
      <c r="G1008">
        <v>1</v>
      </c>
      <c r="H1008">
        <v>20</v>
      </c>
      <c r="I1008" t="s">
        <v>26</v>
      </c>
      <c r="J1008" s="3">
        <v>809.70061599999997</v>
      </c>
      <c r="K1008" s="3" t="s">
        <v>24</v>
      </c>
      <c r="L1008" s="3" t="s">
        <v>24</v>
      </c>
      <c r="M1008" s="3" t="s">
        <v>24</v>
      </c>
      <c r="N1008" s="3">
        <v>17329.107</v>
      </c>
      <c r="O1008" s="4"/>
      <c r="P1008" s="4"/>
      <c r="Q1008" s="4"/>
      <c r="R1008" s="5">
        <v>0</v>
      </c>
      <c r="S1008">
        <v>0</v>
      </c>
      <c r="T1008" t="b">
        <v>1</v>
      </c>
      <c r="U1008">
        <v>-1</v>
      </c>
      <c r="V1008" s="4">
        <v>2.0099999999999998</v>
      </c>
    </row>
    <row r="1009" spans="1:22" hidden="1" x14ac:dyDescent="0.35">
      <c r="A1009" t="s">
        <v>28</v>
      </c>
      <c r="B1009">
        <v>3</v>
      </c>
      <c r="C1009">
        <v>2</v>
      </c>
      <c r="D1009">
        <v>10</v>
      </c>
      <c r="E1009" t="s">
        <v>25</v>
      </c>
      <c r="F1009">
        <v>200</v>
      </c>
      <c r="G1009">
        <v>3</v>
      </c>
      <c r="H1009">
        <v>20</v>
      </c>
      <c r="I1009" t="s">
        <v>26</v>
      </c>
      <c r="J1009" s="3">
        <v>608.67894699999999</v>
      </c>
      <c r="K1009" s="3">
        <v>18418.167000000001</v>
      </c>
      <c r="L1009" s="3">
        <v>19469.175999999999</v>
      </c>
      <c r="M1009" s="3">
        <v>17329.107</v>
      </c>
      <c r="N1009" s="3">
        <v>17329.107</v>
      </c>
      <c r="O1009" s="4">
        <v>6.2846000000000002</v>
      </c>
      <c r="P1009" s="4">
        <v>12.349600000000001</v>
      </c>
      <c r="Q1009" s="4">
        <v>0</v>
      </c>
      <c r="R1009" s="5">
        <v>2.5000000000000001E-3</v>
      </c>
      <c r="S1009">
        <v>11</v>
      </c>
      <c r="T1009" t="b">
        <v>0</v>
      </c>
      <c r="U1009">
        <v>11</v>
      </c>
      <c r="V1009" s="4">
        <v>4.82</v>
      </c>
    </row>
    <row r="1010" spans="1:22" hidden="1" x14ac:dyDescent="0.35">
      <c r="A1010" t="s">
        <v>28</v>
      </c>
      <c r="B1010">
        <v>3</v>
      </c>
      <c r="C1010">
        <v>3</v>
      </c>
      <c r="D1010">
        <v>2</v>
      </c>
      <c r="E1010" t="s">
        <v>22</v>
      </c>
      <c r="F1010">
        <v>50</v>
      </c>
      <c r="G1010">
        <v>1</v>
      </c>
      <c r="H1010">
        <v>20</v>
      </c>
      <c r="I1010" t="s">
        <v>26</v>
      </c>
      <c r="J1010" s="3">
        <v>161.923194</v>
      </c>
      <c r="K1010" s="3">
        <v>19469.175999999999</v>
      </c>
      <c r="L1010" s="3">
        <v>19469.175999999999</v>
      </c>
      <c r="M1010" s="3">
        <v>19469.175999999999</v>
      </c>
      <c r="N1010" s="3">
        <v>17329.107</v>
      </c>
      <c r="O1010" s="4">
        <v>12.349600000000001</v>
      </c>
      <c r="P1010" s="4">
        <v>12.349600000000001</v>
      </c>
      <c r="Q1010" s="4">
        <v>12.349600000000001</v>
      </c>
      <c r="R1010" s="5">
        <v>1E-4</v>
      </c>
      <c r="S1010">
        <v>1</v>
      </c>
      <c r="T1010" t="b">
        <v>0</v>
      </c>
      <c r="U1010">
        <v>1</v>
      </c>
      <c r="V1010" s="4">
        <v>15.51</v>
      </c>
    </row>
    <row r="1011" spans="1:22" hidden="1" x14ac:dyDescent="0.35">
      <c r="A1011" t="s">
        <v>28</v>
      </c>
      <c r="B1011">
        <v>3</v>
      </c>
      <c r="C1011">
        <v>3</v>
      </c>
      <c r="D1011">
        <v>2</v>
      </c>
      <c r="E1011" t="s">
        <v>22</v>
      </c>
      <c r="F1011">
        <v>50</v>
      </c>
      <c r="G1011">
        <v>3</v>
      </c>
      <c r="H1011">
        <v>20</v>
      </c>
      <c r="I1011" t="s">
        <v>26</v>
      </c>
      <c r="J1011" s="3">
        <v>47.231783999999998</v>
      </c>
      <c r="K1011" s="3">
        <v>17329.107</v>
      </c>
      <c r="L1011" s="3">
        <v>19286.454000000002</v>
      </c>
      <c r="M1011" s="3">
        <v>17329.107</v>
      </c>
      <c r="N1011" s="3">
        <v>17329.107</v>
      </c>
      <c r="O1011" s="4">
        <v>0</v>
      </c>
      <c r="P1011" s="4">
        <v>11.2951</v>
      </c>
      <c r="Q1011" s="4">
        <v>0</v>
      </c>
      <c r="R1011" s="5">
        <v>3.7400000000000003E-2</v>
      </c>
      <c r="S1011">
        <v>12</v>
      </c>
      <c r="T1011" t="b">
        <v>0</v>
      </c>
      <c r="U1011">
        <v>5</v>
      </c>
      <c r="V1011" s="4">
        <v>44.68</v>
      </c>
    </row>
    <row r="1012" spans="1:22" hidden="1" x14ac:dyDescent="0.35">
      <c r="A1012" t="s">
        <v>28</v>
      </c>
      <c r="B1012">
        <v>3</v>
      </c>
      <c r="C1012">
        <v>3</v>
      </c>
      <c r="D1012">
        <v>2</v>
      </c>
      <c r="E1012" t="s">
        <v>22</v>
      </c>
      <c r="F1012">
        <v>200</v>
      </c>
      <c r="G1012">
        <v>1</v>
      </c>
      <c r="H1012">
        <v>20</v>
      </c>
      <c r="I1012" t="s">
        <v>26</v>
      </c>
      <c r="J1012" s="3">
        <v>161.923194</v>
      </c>
      <c r="K1012" s="3">
        <v>19469.175999999999</v>
      </c>
      <c r="L1012" s="3">
        <v>19469.175999999999</v>
      </c>
      <c r="M1012" s="3">
        <v>19469.175999999999</v>
      </c>
      <c r="N1012" s="3">
        <v>17329.107</v>
      </c>
      <c r="O1012" s="4">
        <v>12.349600000000001</v>
      </c>
      <c r="P1012" s="4">
        <v>12.349600000000001</v>
      </c>
      <c r="Q1012" s="4">
        <v>12.349600000000001</v>
      </c>
      <c r="R1012" s="5">
        <v>1E-4</v>
      </c>
      <c r="S1012">
        <v>1</v>
      </c>
      <c r="T1012" t="b">
        <v>0</v>
      </c>
      <c r="U1012">
        <v>1</v>
      </c>
      <c r="V1012" s="4">
        <v>15.75</v>
      </c>
    </row>
    <row r="1013" spans="1:22" hidden="1" x14ac:dyDescent="0.35">
      <c r="A1013" t="s">
        <v>28</v>
      </c>
      <c r="B1013">
        <v>3</v>
      </c>
      <c r="C1013">
        <v>3</v>
      </c>
      <c r="D1013">
        <v>2</v>
      </c>
      <c r="E1013" t="s">
        <v>22</v>
      </c>
      <c r="F1013">
        <v>200</v>
      </c>
      <c r="G1013">
        <v>3</v>
      </c>
      <c r="H1013">
        <v>20</v>
      </c>
      <c r="I1013" t="s">
        <v>26</v>
      </c>
      <c r="J1013" s="3">
        <v>47.231783999999998</v>
      </c>
      <c r="K1013" s="3">
        <v>17329.107</v>
      </c>
      <c r="L1013" s="3">
        <v>19286.454000000002</v>
      </c>
      <c r="M1013" s="3">
        <v>17329.107</v>
      </c>
      <c r="N1013" s="3">
        <v>17329.107</v>
      </c>
      <c r="O1013" s="4">
        <v>0</v>
      </c>
      <c r="P1013" s="4">
        <v>11.2951</v>
      </c>
      <c r="Q1013" s="4">
        <v>0</v>
      </c>
      <c r="R1013" s="5">
        <v>3.7400000000000003E-2</v>
      </c>
      <c r="S1013">
        <v>12</v>
      </c>
      <c r="T1013" t="b">
        <v>0</v>
      </c>
      <c r="U1013">
        <v>5</v>
      </c>
      <c r="V1013" s="4">
        <v>48.66</v>
      </c>
    </row>
    <row r="1014" spans="1:22" hidden="1" x14ac:dyDescent="0.35">
      <c r="A1014" t="s">
        <v>28</v>
      </c>
      <c r="B1014">
        <v>3</v>
      </c>
      <c r="C1014">
        <v>3</v>
      </c>
      <c r="D1014">
        <v>2</v>
      </c>
      <c r="E1014" t="s">
        <v>25</v>
      </c>
      <c r="F1014">
        <v>50</v>
      </c>
      <c r="G1014">
        <v>1</v>
      </c>
      <c r="H1014">
        <v>20</v>
      </c>
      <c r="I1014" t="s">
        <v>26</v>
      </c>
      <c r="J1014" s="3">
        <v>167.953363</v>
      </c>
      <c r="K1014" s="3" t="s">
        <v>24</v>
      </c>
      <c r="L1014" s="3" t="s">
        <v>24</v>
      </c>
      <c r="M1014" s="3" t="s">
        <v>24</v>
      </c>
      <c r="N1014" s="3">
        <v>17329.107</v>
      </c>
      <c r="O1014" s="4"/>
      <c r="P1014" s="4"/>
      <c r="Q1014" s="4"/>
      <c r="R1014" s="5">
        <v>0</v>
      </c>
      <c r="S1014">
        <v>0</v>
      </c>
      <c r="T1014" t="b">
        <v>1</v>
      </c>
      <c r="U1014">
        <v>-1</v>
      </c>
      <c r="V1014" s="4">
        <v>2.94</v>
      </c>
    </row>
    <row r="1015" spans="1:22" hidden="1" x14ac:dyDescent="0.35">
      <c r="A1015" t="s">
        <v>28</v>
      </c>
      <c r="B1015">
        <v>3</v>
      </c>
      <c r="C1015">
        <v>3</v>
      </c>
      <c r="D1015">
        <v>2</v>
      </c>
      <c r="E1015" t="s">
        <v>25</v>
      </c>
      <c r="F1015">
        <v>50</v>
      </c>
      <c r="G1015">
        <v>3</v>
      </c>
      <c r="H1015">
        <v>20</v>
      </c>
      <c r="I1015" t="s">
        <v>26</v>
      </c>
      <c r="J1015" s="3">
        <v>167.08769599999999</v>
      </c>
      <c r="K1015" s="3" t="s">
        <v>24</v>
      </c>
      <c r="L1015" s="3" t="s">
        <v>24</v>
      </c>
      <c r="M1015" s="3" t="s">
        <v>24</v>
      </c>
      <c r="N1015" s="3">
        <v>17329.107</v>
      </c>
      <c r="O1015" s="4"/>
      <c r="P1015" s="4"/>
      <c r="Q1015" s="4"/>
      <c r="R1015" s="5">
        <v>0</v>
      </c>
      <c r="S1015">
        <v>0</v>
      </c>
      <c r="T1015" t="b">
        <v>1</v>
      </c>
      <c r="U1015">
        <v>-1</v>
      </c>
      <c r="V1015" s="4">
        <v>7.74</v>
      </c>
    </row>
    <row r="1016" spans="1:22" hidden="1" x14ac:dyDescent="0.35">
      <c r="A1016" t="s">
        <v>28</v>
      </c>
      <c r="B1016">
        <v>3</v>
      </c>
      <c r="C1016">
        <v>3</v>
      </c>
      <c r="D1016">
        <v>2</v>
      </c>
      <c r="E1016" t="s">
        <v>25</v>
      </c>
      <c r="F1016">
        <v>200</v>
      </c>
      <c r="G1016">
        <v>1</v>
      </c>
      <c r="H1016">
        <v>20</v>
      </c>
      <c r="I1016" t="s">
        <v>26</v>
      </c>
      <c r="J1016" s="3">
        <v>167.953363</v>
      </c>
      <c r="K1016" s="3" t="s">
        <v>24</v>
      </c>
      <c r="L1016" s="3" t="s">
        <v>24</v>
      </c>
      <c r="M1016" s="3" t="s">
        <v>24</v>
      </c>
      <c r="N1016" s="3">
        <v>17329.107</v>
      </c>
      <c r="O1016" s="4"/>
      <c r="P1016" s="4"/>
      <c r="Q1016" s="4"/>
      <c r="R1016" s="5">
        <v>0</v>
      </c>
      <c r="S1016">
        <v>0</v>
      </c>
      <c r="T1016" t="b">
        <v>1</v>
      </c>
      <c r="U1016">
        <v>-1</v>
      </c>
      <c r="V1016" s="4">
        <v>2.89</v>
      </c>
    </row>
    <row r="1017" spans="1:22" hidden="1" x14ac:dyDescent="0.35">
      <c r="A1017" t="s">
        <v>28</v>
      </c>
      <c r="B1017">
        <v>3</v>
      </c>
      <c r="C1017">
        <v>3</v>
      </c>
      <c r="D1017">
        <v>2</v>
      </c>
      <c r="E1017" t="s">
        <v>25</v>
      </c>
      <c r="F1017">
        <v>200</v>
      </c>
      <c r="G1017">
        <v>3</v>
      </c>
      <c r="H1017">
        <v>20</v>
      </c>
      <c r="I1017" t="s">
        <v>26</v>
      </c>
      <c r="J1017" s="3">
        <v>167.08769599999999</v>
      </c>
      <c r="K1017" s="3" t="s">
        <v>24</v>
      </c>
      <c r="L1017" s="3" t="s">
        <v>24</v>
      </c>
      <c r="M1017" s="3" t="s">
        <v>24</v>
      </c>
      <c r="N1017" s="3">
        <v>17329.107</v>
      </c>
      <c r="O1017" s="4"/>
      <c r="P1017" s="4"/>
      <c r="Q1017" s="4"/>
      <c r="R1017" s="5">
        <v>0</v>
      </c>
      <c r="S1017">
        <v>0</v>
      </c>
      <c r="T1017" t="b">
        <v>1</v>
      </c>
      <c r="U1017">
        <v>-1</v>
      </c>
      <c r="V1017" s="4">
        <v>7.58</v>
      </c>
    </row>
    <row r="1018" spans="1:22" hidden="1" x14ac:dyDescent="0.35">
      <c r="A1018" t="s">
        <v>28</v>
      </c>
      <c r="B1018">
        <v>3</v>
      </c>
      <c r="C1018">
        <v>3</v>
      </c>
      <c r="D1018">
        <v>5</v>
      </c>
      <c r="E1018" t="s">
        <v>22</v>
      </c>
      <c r="F1018">
        <v>50</v>
      </c>
      <c r="G1018">
        <v>1</v>
      </c>
      <c r="H1018">
        <v>20</v>
      </c>
      <c r="I1018" t="s">
        <v>26</v>
      </c>
      <c r="J1018" s="3">
        <v>151.31552400000001</v>
      </c>
      <c r="K1018" s="3">
        <v>17329.107</v>
      </c>
      <c r="L1018" s="3">
        <v>18418.167000000001</v>
      </c>
      <c r="M1018" s="3">
        <v>17329.107</v>
      </c>
      <c r="N1018" s="3">
        <v>17329.107</v>
      </c>
      <c r="O1018" s="4">
        <v>0</v>
      </c>
      <c r="P1018" s="4">
        <v>6.2846000000000002</v>
      </c>
      <c r="Q1018" s="4">
        <v>0</v>
      </c>
      <c r="R1018" s="5">
        <v>3.7000000000000002E-3</v>
      </c>
      <c r="S1018">
        <v>12</v>
      </c>
      <c r="T1018" t="b">
        <v>0</v>
      </c>
      <c r="U1018">
        <v>11</v>
      </c>
      <c r="V1018" s="4">
        <v>14.92</v>
      </c>
    </row>
    <row r="1019" spans="1:22" hidden="1" x14ac:dyDescent="0.35">
      <c r="A1019" t="s">
        <v>28</v>
      </c>
      <c r="B1019">
        <v>3</v>
      </c>
      <c r="C1019">
        <v>3</v>
      </c>
      <c r="D1019">
        <v>5</v>
      </c>
      <c r="E1019" t="s">
        <v>22</v>
      </c>
      <c r="F1019">
        <v>50</v>
      </c>
      <c r="G1019">
        <v>3</v>
      </c>
      <c r="H1019">
        <v>20</v>
      </c>
      <c r="I1019" t="s">
        <v>26</v>
      </c>
      <c r="J1019" s="3">
        <v>151.31552400000001</v>
      </c>
      <c r="K1019" s="3">
        <v>17329.107</v>
      </c>
      <c r="L1019" s="3">
        <v>18418.167000000001</v>
      </c>
      <c r="M1019" s="3">
        <v>17329.107</v>
      </c>
      <c r="N1019" s="3">
        <v>17329.107</v>
      </c>
      <c r="O1019" s="4">
        <v>0</v>
      </c>
      <c r="P1019" s="4">
        <v>6.2846000000000002</v>
      </c>
      <c r="Q1019" s="4">
        <v>0</v>
      </c>
      <c r="R1019" s="5">
        <v>3.7000000000000002E-3</v>
      </c>
      <c r="S1019">
        <v>12</v>
      </c>
      <c r="T1019" t="b">
        <v>0</v>
      </c>
      <c r="U1019">
        <v>11</v>
      </c>
      <c r="V1019" s="4">
        <v>44.09</v>
      </c>
    </row>
    <row r="1020" spans="1:22" hidden="1" x14ac:dyDescent="0.35">
      <c r="A1020" t="s">
        <v>28</v>
      </c>
      <c r="B1020">
        <v>3</v>
      </c>
      <c r="C1020">
        <v>3</v>
      </c>
      <c r="D1020">
        <v>5</v>
      </c>
      <c r="E1020" t="s">
        <v>22</v>
      </c>
      <c r="F1020">
        <v>200</v>
      </c>
      <c r="G1020">
        <v>1</v>
      </c>
      <c r="H1020">
        <v>20</v>
      </c>
      <c r="I1020" t="s">
        <v>26</v>
      </c>
      <c r="J1020" s="3">
        <v>150.94955999999999</v>
      </c>
      <c r="K1020" s="3">
        <v>17329.107</v>
      </c>
      <c r="L1020" s="3">
        <v>17329.107</v>
      </c>
      <c r="M1020" s="3">
        <v>17329.107</v>
      </c>
      <c r="N1020" s="3">
        <v>17329.107</v>
      </c>
      <c r="O1020" s="4">
        <v>0</v>
      </c>
      <c r="P1020" s="4">
        <v>0</v>
      </c>
      <c r="Q1020" s="4">
        <v>0</v>
      </c>
      <c r="R1020" s="5">
        <v>3.5999999999999999E-3</v>
      </c>
      <c r="S1020">
        <v>12</v>
      </c>
      <c r="T1020" t="b">
        <v>0</v>
      </c>
      <c r="U1020">
        <v>7</v>
      </c>
      <c r="V1020" s="4">
        <v>22.28</v>
      </c>
    </row>
    <row r="1021" spans="1:22" hidden="1" x14ac:dyDescent="0.35">
      <c r="A1021" t="s">
        <v>28</v>
      </c>
      <c r="B1021">
        <v>3</v>
      </c>
      <c r="C1021">
        <v>3</v>
      </c>
      <c r="D1021">
        <v>5</v>
      </c>
      <c r="E1021" t="s">
        <v>22</v>
      </c>
      <c r="F1021">
        <v>200</v>
      </c>
      <c r="G1021">
        <v>3</v>
      </c>
      <c r="H1021">
        <v>20</v>
      </c>
      <c r="I1021" t="s">
        <v>26</v>
      </c>
      <c r="J1021" s="3">
        <v>150.94955999999999</v>
      </c>
      <c r="K1021" s="3">
        <v>17329.107</v>
      </c>
      <c r="L1021" s="3">
        <v>17329.107</v>
      </c>
      <c r="M1021" s="3">
        <v>17329.107</v>
      </c>
      <c r="N1021" s="3">
        <v>17329.107</v>
      </c>
      <c r="O1021" s="4">
        <v>0</v>
      </c>
      <c r="P1021" s="4">
        <v>0</v>
      </c>
      <c r="Q1021" s="4">
        <v>0</v>
      </c>
      <c r="R1021" s="5">
        <v>3.5999999999999999E-3</v>
      </c>
      <c r="S1021">
        <v>12</v>
      </c>
      <c r="T1021" t="b">
        <v>0</v>
      </c>
      <c r="U1021">
        <v>7</v>
      </c>
      <c r="V1021" s="4">
        <v>54.36</v>
      </c>
    </row>
    <row r="1022" spans="1:22" hidden="1" x14ac:dyDescent="0.35">
      <c r="A1022" t="s">
        <v>28</v>
      </c>
      <c r="B1022">
        <v>3</v>
      </c>
      <c r="C1022">
        <v>3</v>
      </c>
      <c r="D1022">
        <v>5</v>
      </c>
      <c r="E1022" t="s">
        <v>25</v>
      </c>
      <c r="F1022">
        <v>50</v>
      </c>
      <c r="G1022">
        <v>1</v>
      </c>
      <c r="H1022">
        <v>20</v>
      </c>
      <c r="I1022" t="s">
        <v>26</v>
      </c>
      <c r="J1022" s="3">
        <v>410.376349</v>
      </c>
      <c r="K1022" s="3">
        <v>18737.439999999999</v>
      </c>
      <c r="L1022" s="3">
        <v>19286.454000000002</v>
      </c>
      <c r="M1022" s="3">
        <v>18737.439999999999</v>
      </c>
      <c r="N1022" s="3">
        <v>17329.107</v>
      </c>
      <c r="O1022" s="4">
        <v>8.1270000000000007</v>
      </c>
      <c r="P1022" s="4">
        <v>11.2951</v>
      </c>
      <c r="Q1022" s="4">
        <v>8.1270000000000007</v>
      </c>
      <c r="R1022" s="5">
        <v>2.9999999999999997E-4</v>
      </c>
      <c r="S1022">
        <v>2</v>
      </c>
      <c r="T1022" t="b">
        <v>0</v>
      </c>
      <c r="U1022">
        <v>2</v>
      </c>
      <c r="V1022" s="4">
        <v>2.87</v>
      </c>
    </row>
    <row r="1023" spans="1:22" hidden="1" x14ac:dyDescent="0.35">
      <c r="A1023" t="s">
        <v>28</v>
      </c>
      <c r="B1023">
        <v>3</v>
      </c>
      <c r="C1023">
        <v>3</v>
      </c>
      <c r="D1023">
        <v>5</v>
      </c>
      <c r="E1023" t="s">
        <v>25</v>
      </c>
      <c r="F1023">
        <v>50</v>
      </c>
      <c r="G1023">
        <v>3</v>
      </c>
      <c r="H1023">
        <v>20</v>
      </c>
      <c r="I1023" t="s">
        <v>26</v>
      </c>
      <c r="J1023" s="3">
        <v>404.40884799999998</v>
      </c>
      <c r="K1023" s="3">
        <v>18737.439999999999</v>
      </c>
      <c r="L1023" s="3">
        <v>18737.439999999999</v>
      </c>
      <c r="M1023" s="3">
        <v>18737.439999999999</v>
      </c>
      <c r="N1023" s="3">
        <v>17329.107</v>
      </c>
      <c r="O1023" s="4">
        <v>8.1270000000000007</v>
      </c>
      <c r="P1023" s="4">
        <v>8.1270000000000007</v>
      </c>
      <c r="Q1023" s="4">
        <v>8.1270000000000007</v>
      </c>
      <c r="R1023" s="5">
        <v>1E-4</v>
      </c>
      <c r="S1023">
        <v>1</v>
      </c>
      <c r="T1023" t="b">
        <v>0</v>
      </c>
      <c r="U1023">
        <v>1</v>
      </c>
      <c r="V1023" s="4">
        <v>7.61</v>
      </c>
    </row>
    <row r="1024" spans="1:22" hidden="1" x14ac:dyDescent="0.35">
      <c r="A1024" t="s">
        <v>28</v>
      </c>
      <c r="B1024">
        <v>3</v>
      </c>
      <c r="C1024">
        <v>3</v>
      </c>
      <c r="D1024">
        <v>5</v>
      </c>
      <c r="E1024" t="s">
        <v>25</v>
      </c>
      <c r="F1024">
        <v>200</v>
      </c>
      <c r="G1024">
        <v>1</v>
      </c>
      <c r="H1024">
        <v>20</v>
      </c>
      <c r="I1024" t="s">
        <v>26</v>
      </c>
      <c r="J1024" s="3">
        <v>410.376349</v>
      </c>
      <c r="K1024" s="3">
        <v>18737.439999999999</v>
      </c>
      <c r="L1024" s="3">
        <v>19286.454000000002</v>
      </c>
      <c r="M1024" s="3">
        <v>18737.439999999999</v>
      </c>
      <c r="N1024" s="3">
        <v>17329.107</v>
      </c>
      <c r="O1024" s="4">
        <v>8.1270000000000007</v>
      </c>
      <c r="P1024" s="4">
        <v>11.2951</v>
      </c>
      <c r="Q1024" s="4">
        <v>8.1270000000000007</v>
      </c>
      <c r="R1024" s="5">
        <v>2.9999999999999997E-4</v>
      </c>
      <c r="S1024">
        <v>2</v>
      </c>
      <c r="T1024" t="b">
        <v>0</v>
      </c>
      <c r="U1024">
        <v>2</v>
      </c>
      <c r="V1024" s="4">
        <v>2.92</v>
      </c>
    </row>
    <row r="1025" spans="1:22" hidden="1" x14ac:dyDescent="0.35">
      <c r="A1025" t="s">
        <v>28</v>
      </c>
      <c r="B1025">
        <v>3</v>
      </c>
      <c r="C1025">
        <v>3</v>
      </c>
      <c r="D1025">
        <v>5</v>
      </c>
      <c r="E1025" t="s">
        <v>25</v>
      </c>
      <c r="F1025">
        <v>200</v>
      </c>
      <c r="G1025">
        <v>3</v>
      </c>
      <c r="H1025">
        <v>20</v>
      </c>
      <c r="I1025" t="s">
        <v>26</v>
      </c>
      <c r="J1025" s="3">
        <v>404.40884799999998</v>
      </c>
      <c r="K1025" s="3">
        <v>18737.439999999999</v>
      </c>
      <c r="L1025" s="3">
        <v>18737.439999999999</v>
      </c>
      <c r="M1025" s="3">
        <v>18737.439999999999</v>
      </c>
      <c r="N1025" s="3">
        <v>17329.107</v>
      </c>
      <c r="O1025" s="4">
        <v>8.1270000000000007</v>
      </c>
      <c r="P1025" s="4">
        <v>8.1270000000000007</v>
      </c>
      <c r="Q1025" s="4">
        <v>8.1270000000000007</v>
      </c>
      <c r="R1025" s="5">
        <v>1E-4</v>
      </c>
      <c r="S1025">
        <v>1</v>
      </c>
      <c r="T1025" t="b">
        <v>0</v>
      </c>
      <c r="U1025">
        <v>1</v>
      </c>
      <c r="V1025" s="4">
        <v>7.59</v>
      </c>
    </row>
    <row r="1026" spans="1:22" hidden="1" x14ac:dyDescent="0.35">
      <c r="A1026" t="s">
        <v>28</v>
      </c>
      <c r="B1026">
        <v>3</v>
      </c>
      <c r="C1026">
        <v>3</v>
      </c>
      <c r="D1026">
        <v>10</v>
      </c>
      <c r="E1026" t="s">
        <v>22</v>
      </c>
      <c r="F1026">
        <v>50</v>
      </c>
      <c r="G1026">
        <v>1</v>
      </c>
      <c r="H1026">
        <v>20</v>
      </c>
      <c r="I1026" t="s">
        <v>26</v>
      </c>
      <c r="J1026" s="3">
        <v>793.13133600000003</v>
      </c>
      <c r="K1026" s="3">
        <v>18737.439999999999</v>
      </c>
      <c r="L1026" s="3">
        <v>20408.087</v>
      </c>
      <c r="M1026" s="3">
        <v>18737.439999999999</v>
      </c>
      <c r="N1026" s="3">
        <v>17329.107</v>
      </c>
      <c r="O1026" s="4">
        <v>8.1270000000000007</v>
      </c>
      <c r="P1026" s="4">
        <v>17.767700000000001</v>
      </c>
      <c r="Q1026" s="4">
        <v>8.1270000000000007</v>
      </c>
      <c r="R1026" s="5">
        <v>2.0000000000000001E-4</v>
      </c>
      <c r="S1026">
        <v>2</v>
      </c>
      <c r="T1026" t="b">
        <v>0</v>
      </c>
      <c r="U1026">
        <v>2</v>
      </c>
      <c r="V1026" s="4">
        <v>15.73</v>
      </c>
    </row>
    <row r="1027" spans="1:22" hidden="1" x14ac:dyDescent="0.35">
      <c r="A1027" t="s">
        <v>28</v>
      </c>
      <c r="B1027">
        <v>3</v>
      </c>
      <c r="C1027">
        <v>3</v>
      </c>
      <c r="D1027">
        <v>10</v>
      </c>
      <c r="E1027" t="s">
        <v>22</v>
      </c>
      <c r="F1027">
        <v>50</v>
      </c>
      <c r="G1027">
        <v>3</v>
      </c>
      <c r="H1027">
        <v>20</v>
      </c>
      <c r="I1027" t="s">
        <v>26</v>
      </c>
      <c r="J1027" s="3">
        <v>788.287149</v>
      </c>
      <c r="K1027" s="3">
        <v>17329.107</v>
      </c>
      <c r="L1027" s="3">
        <v>19469.175999999999</v>
      </c>
      <c r="M1027" s="3">
        <v>17329.107</v>
      </c>
      <c r="N1027" s="3">
        <v>17329.107</v>
      </c>
      <c r="O1027" s="4">
        <v>0</v>
      </c>
      <c r="P1027" s="4">
        <v>12.349600000000001</v>
      </c>
      <c r="Q1027" s="4">
        <v>0</v>
      </c>
      <c r="R1027" s="5">
        <v>4.0000000000000002E-4</v>
      </c>
      <c r="S1027">
        <v>4</v>
      </c>
      <c r="T1027" t="b">
        <v>0</v>
      </c>
      <c r="U1027">
        <v>3</v>
      </c>
      <c r="V1027" s="4">
        <v>44.96</v>
      </c>
    </row>
    <row r="1028" spans="1:22" hidden="1" x14ac:dyDescent="0.35">
      <c r="A1028" t="s">
        <v>28</v>
      </c>
      <c r="B1028">
        <v>3</v>
      </c>
      <c r="C1028">
        <v>3</v>
      </c>
      <c r="D1028">
        <v>10</v>
      </c>
      <c r="E1028" t="s">
        <v>22</v>
      </c>
      <c r="F1028">
        <v>200</v>
      </c>
      <c r="G1028">
        <v>1</v>
      </c>
      <c r="H1028">
        <v>20</v>
      </c>
      <c r="I1028" t="s">
        <v>26</v>
      </c>
      <c r="J1028" s="3">
        <v>793.13133600000003</v>
      </c>
      <c r="K1028" s="3">
        <v>18737.439999999999</v>
      </c>
      <c r="L1028" s="3">
        <v>20408.087</v>
      </c>
      <c r="M1028" s="3">
        <v>18737.439999999999</v>
      </c>
      <c r="N1028" s="3">
        <v>17329.107</v>
      </c>
      <c r="O1028" s="4">
        <v>8.1270000000000007</v>
      </c>
      <c r="P1028" s="4">
        <v>17.767700000000001</v>
      </c>
      <c r="Q1028" s="4">
        <v>8.1270000000000007</v>
      </c>
      <c r="R1028" s="5">
        <v>2.0000000000000001E-4</v>
      </c>
      <c r="S1028">
        <v>2</v>
      </c>
      <c r="T1028" t="b">
        <v>0</v>
      </c>
      <c r="U1028">
        <v>2</v>
      </c>
      <c r="V1028" s="4">
        <v>16.13</v>
      </c>
    </row>
    <row r="1029" spans="1:22" hidden="1" x14ac:dyDescent="0.35">
      <c r="A1029" t="s">
        <v>28</v>
      </c>
      <c r="B1029">
        <v>3</v>
      </c>
      <c r="C1029">
        <v>3</v>
      </c>
      <c r="D1029">
        <v>10</v>
      </c>
      <c r="E1029" t="s">
        <v>22</v>
      </c>
      <c r="F1029">
        <v>200</v>
      </c>
      <c r="G1029">
        <v>3</v>
      </c>
      <c r="H1029">
        <v>20</v>
      </c>
      <c r="I1029" t="s">
        <v>26</v>
      </c>
      <c r="J1029" s="3">
        <v>788.287149</v>
      </c>
      <c r="K1029" s="3">
        <v>17329.107</v>
      </c>
      <c r="L1029" s="3">
        <v>19469.175999999999</v>
      </c>
      <c r="M1029" s="3">
        <v>17329.107</v>
      </c>
      <c r="N1029" s="3">
        <v>17329.107</v>
      </c>
      <c r="O1029" s="4">
        <v>0</v>
      </c>
      <c r="P1029" s="4">
        <v>12.349600000000001</v>
      </c>
      <c r="Q1029" s="4">
        <v>0</v>
      </c>
      <c r="R1029" s="5">
        <v>4.0000000000000002E-4</v>
      </c>
      <c r="S1029">
        <v>4</v>
      </c>
      <c r="T1029" t="b">
        <v>0</v>
      </c>
      <c r="U1029">
        <v>3</v>
      </c>
      <c r="V1029" s="4">
        <v>46.42</v>
      </c>
    </row>
    <row r="1030" spans="1:22" hidden="1" x14ac:dyDescent="0.35">
      <c r="A1030" t="s">
        <v>28</v>
      </c>
      <c r="B1030">
        <v>3</v>
      </c>
      <c r="C1030">
        <v>3</v>
      </c>
      <c r="D1030">
        <v>10</v>
      </c>
      <c r="E1030" t="s">
        <v>25</v>
      </c>
      <c r="F1030">
        <v>50</v>
      </c>
      <c r="G1030">
        <v>1</v>
      </c>
      <c r="H1030">
        <v>20</v>
      </c>
      <c r="I1030" t="s">
        <v>26</v>
      </c>
      <c r="J1030" s="3">
        <v>828.42036499999995</v>
      </c>
      <c r="K1030" s="3" t="s">
        <v>24</v>
      </c>
      <c r="L1030" s="3" t="s">
        <v>24</v>
      </c>
      <c r="M1030" s="3" t="s">
        <v>24</v>
      </c>
      <c r="N1030" s="3">
        <v>17329.107</v>
      </c>
      <c r="O1030" s="4"/>
      <c r="P1030" s="4"/>
      <c r="Q1030" s="4"/>
      <c r="R1030" s="5">
        <v>0</v>
      </c>
      <c r="S1030">
        <v>0</v>
      </c>
      <c r="T1030" t="b">
        <v>1</v>
      </c>
      <c r="U1030">
        <v>-1</v>
      </c>
      <c r="V1030" s="4">
        <v>2.91</v>
      </c>
    </row>
    <row r="1031" spans="1:22" hidden="1" x14ac:dyDescent="0.35">
      <c r="A1031" t="s">
        <v>28</v>
      </c>
      <c r="B1031">
        <v>3</v>
      </c>
      <c r="C1031">
        <v>3</v>
      </c>
      <c r="D1031">
        <v>10</v>
      </c>
      <c r="E1031" t="s">
        <v>25</v>
      </c>
      <c r="F1031">
        <v>50</v>
      </c>
      <c r="G1031">
        <v>3</v>
      </c>
      <c r="H1031">
        <v>20</v>
      </c>
      <c r="I1031" t="s">
        <v>26</v>
      </c>
      <c r="J1031" s="3">
        <v>817.83526199999994</v>
      </c>
      <c r="K1031" s="3" t="s">
        <v>24</v>
      </c>
      <c r="L1031" s="3" t="s">
        <v>24</v>
      </c>
      <c r="M1031" s="3" t="s">
        <v>24</v>
      </c>
      <c r="N1031" s="3">
        <v>17329.107</v>
      </c>
      <c r="O1031" s="4"/>
      <c r="P1031" s="4"/>
      <c r="Q1031" s="4"/>
      <c r="R1031" s="5">
        <v>0</v>
      </c>
      <c r="S1031">
        <v>0</v>
      </c>
      <c r="T1031" t="b">
        <v>1</v>
      </c>
      <c r="U1031">
        <v>-1</v>
      </c>
      <c r="V1031" s="4">
        <v>7.73</v>
      </c>
    </row>
    <row r="1032" spans="1:22" hidden="1" x14ac:dyDescent="0.35">
      <c r="A1032" t="s">
        <v>28</v>
      </c>
      <c r="B1032">
        <v>3</v>
      </c>
      <c r="C1032">
        <v>3</v>
      </c>
      <c r="D1032">
        <v>10</v>
      </c>
      <c r="E1032" t="s">
        <v>25</v>
      </c>
      <c r="F1032">
        <v>200</v>
      </c>
      <c r="G1032">
        <v>1</v>
      </c>
      <c r="H1032">
        <v>20</v>
      </c>
      <c r="I1032" t="s">
        <v>26</v>
      </c>
      <c r="J1032" s="3">
        <v>828.42036499999995</v>
      </c>
      <c r="K1032" s="3" t="s">
        <v>24</v>
      </c>
      <c r="L1032" s="3" t="s">
        <v>24</v>
      </c>
      <c r="M1032" s="3" t="s">
        <v>24</v>
      </c>
      <c r="N1032" s="3">
        <v>17329.107</v>
      </c>
      <c r="O1032" s="4"/>
      <c r="P1032" s="4"/>
      <c r="Q1032" s="4"/>
      <c r="R1032" s="5">
        <v>0</v>
      </c>
      <c r="S1032">
        <v>0</v>
      </c>
      <c r="T1032" t="b">
        <v>1</v>
      </c>
      <c r="U1032">
        <v>-1</v>
      </c>
      <c r="V1032" s="4">
        <v>2.97</v>
      </c>
    </row>
    <row r="1033" spans="1:22" hidden="1" x14ac:dyDescent="0.35">
      <c r="A1033" t="s">
        <v>28</v>
      </c>
      <c r="B1033">
        <v>3</v>
      </c>
      <c r="C1033">
        <v>3</v>
      </c>
      <c r="D1033">
        <v>10</v>
      </c>
      <c r="E1033" t="s">
        <v>25</v>
      </c>
      <c r="F1033">
        <v>200</v>
      </c>
      <c r="G1033">
        <v>3</v>
      </c>
      <c r="H1033">
        <v>20</v>
      </c>
      <c r="I1033" t="s">
        <v>26</v>
      </c>
      <c r="J1033" s="3">
        <v>817.83526199999994</v>
      </c>
      <c r="K1033" s="3" t="s">
        <v>24</v>
      </c>
      <c r="L1033" s="3" t="s">
        <v>24</v>
      </c>
      <c r="M1033" s="3" t="s">
        <v>24</v>
      </c>
      <c r="N1033" s="3">
        <v>17329.107</v>
      </c>
      <c r="O1033" s="4"/>
      <c r="P1033" s="4"/>
      <c r="Q1033" s="4"/>
      <c r="R1033" s="5">
        <v>0</v>
      </c>
      <c r="S1033">
        <v>0</v>
      </c>
      <c r="T1033" t="b">
        <v>1</v>
      </c>
      <c r="U1033">
        <v>-1</v>
      </c>
      <c r="V1033" s="4">
        <v>7.61</v>
      </c>
    </row>
    <row r="1034" spans="1:22" hidden="1" x14ac:dyDescent="0.35">
      <c r="A1034" t="s">
        <v>28</v>
      </c>
      <c r="B1034">
        <v>3</v>
      </c>
      <c r="C1034">
        <v>5</v>
      </c>
      <c r="D1034">
        <v>2</v>
      </c>
      <c r="E1034" t="s">
        <v>22</v>
      </c>
      <c r="F1034">
        <v>50</v>
      </c>
      <c r="G1034">
        <v>1</v>
      </c>
      <c r="H1034">
        <v>20</v>
      </c>
      <c r="I1034" t="s">
        <v>26</v>
      </c>
      <c r="J1034" s="3">
        <v>77.833099000000004</v>
      </c>
      <c r="K1034" s="3">
        <v>17329.107</v>
      </c>
      <c r="L1034" s="3">
        <v>17329.107</v>
      </c>
      <c r="M1034" s="3">
        <v>17329.107</v>
      </c>
      <c r="N1034" s="3">
        <v>17329.107</v>
      </c>
      <c r="O1034" s="4">
        <v>0</v>
      </c>
      <c r="P1034" s="4">
        <v>0</v>
      </c>
      <c r="Q1034" s="4">
        <v>0</v>
      </c>
      <c r="R1034" s="5">
        <v>2.2000000000000001E-3</v>
      </c>
      <c r="S1034">
        <v>9</v>
      </c>
      <c r="T1034" t="b">
        <v>0</v>
      </c>
      <c r="U1034">
        <v>1</v>
      </c>
      <c r="V1034" s="4">
        <v>21.09</v>
      </c>
    </row>
    <row r="1035" spans="1:22" hidden="1" x14ac:dyDescent="0.35">
      <c r="A1035" t="s">
        <v>28</v>
      </c>
      <c r="B1035">
        <v>3</v>
      </c>
      <c r="C1035">
        <v>5</v>
      </c>
      <c r="D1035">
        <v>2</v>
      </c>
      <c r="E1035" t="s">
        <v>22</v>
      </c>
      <c r="F1035">
        <v>50</v>
      </c>
      <c r="G1035">
        <v>3</v>
      </c>
      <c r="H1035">
        <v>20</v>
      </c>
      <c r="I1035" t="s">
        <v>26</v>
      </c>
      <c r="J1035" s="3">
        <v>61.382978999999999</v>
      </c>
      <c r="K1035" s="3">
        <v>17329.107</v>
      </c>
      <c r="L1035" s="3">
        <v>20408.087</v>
      </c>
      <c r="M1035" s="3">
        <v>17329.107</v>
      </c>
      <c r="N1035" s="3">
        <v>17329.107</v>
      </c>
      <c r="O1035" s="4">
        <v>0</v>
      </c>
      <c r="P1035" s="4">
        <v>17.767700000000001</v>
      </c>
      <c r="Q1035" s="4">
        <v>0</v>
      </c>
      <c r="R1035" s="5">
        <v>2.6200000000000001E-2</v>
      </c>
      <c r="S1035">
        <v>12</v>
      </c>
      <c r="T1035" t="b">
        <v>0</v>
      </c>
      <c r="U1035">
        <v>12</v>
      </c>
      <c r="V1035" s="4">
        <v>61.87</v>
      </c>
    </row>
    <row r="1036" spans="1:22" hidden="1" x14ac:dyDescent="0.35">
      <c r="A1036" t="s">
        <v>28</v>
      </c>
      <c r="B1036">
        <v>3</v>
      </c>
      <c r="C1036">
        <v>5</v>
      </c>
      <c r="D1036">
        <v>2</v>
      </c>
      <c r="E1036" t="s">
        <v>22</v>
      </c>
      <c r="F1036">
        <v>200</v>
      </c>
      <c r="G1036">
        <v>1</v>
      </c>
      <c r="H1036">
        <v>20</v>
      </c>
      <c r="I1036" t="s">
        <v>26</v>
      </c>
      <c r="J1036" s="3">
        <v>70.122703999999999</v>
      </c>
      <c r="K1036" s="3">
        <v>17329.107</v>
      </c>
      <c r="L1036" s="3">
        <v>18737.439999999999</v>
      </c>
      <c r="M1036" s="3">
        <v>17329.107</v>
      </c>
      <c r="N1036" s="3">
        <v>17329.107</v>
      </c>
      <c r="O1036" s="4">
        <v>0</v>
      </c>
      <c r="P1036" s="4">
        <v>8.1270000000000007</v>
      </c>
      <c r="Q1036" s="4">
        <v>0</v>
      </c>
      <c r="R1036" s="5">
        <v>3.2000000000000002E-3</v>
      </c>
      <c r="S1036">
        <v>11</v>
      </c>
      <c r="T1036" t="b">
        <v>0</v>
      </c>
      <c r="U1036">
        <v>8</v>
      </c>
      <c r="V1036" s="4">
        <v>47.49</v>
      </c>
    </row>
    <row r="1037" spans="1:22" hidden="1" x14ac:dyDescent="0.35">
      <c r="A1037" t="s">
        <v>28</v>
      </c>
      <c r="B1037">
        <v>3</v>
      </c>
      <c r="C1037">
        <v>5</v>
      </c>
      <c r="D1037">
        <v>2</v>
      </c>
      <c r="E1037" t="s">
        <v>22</v>
      </c>
      <c r="F1037">
        <v>200</v>
      </c>
      <c r="G1037">
        <v>3</v>
      </c>
      <c r="H1037">
        <v>20</v>
      </c>
      <c r="I1037" t="s">
        <v>26</v>
      </c>
      <c r="J1037" s="3">
        <v>41.045696</v>
      </c>
      <c r="K1037" s="3">
        <v>17329.107</v>
      </c>
      <c r="L1037" s="3">
        <v>20408.087</v>
      </c>
      <c r="M1037" s="3">
        <v>17329.107</v>
      </c>
      <c r="N1037" s="3">
        <v>17329.107</v>
      </c>
      <c r="O1037" s="4">
        <v>0</v>
      </c>
      <c r="P1037" s="4">
        <v>17.767700000000001</v>
      </c>
      <c r="Q1037" s="4">
        <v>0</v>
      </c>
      <c r="R1037" s="5">
        <v>1.8100000000000002E-2</v>
      </c>
      <c r="S1037">
        <v>12</v>
      </c>
      <c r="T1037" t="b">
        <v>0</v>
      </c>
      <c r="U1037">
        <v>8</v>
      </c>
      <c r="V1037" s="4">
        <v>146.86000000000001</v>
      </c>
    </row>
    <row r="1038" spans="1:22" hidden="1" x14ac:dyDescent="0.35">
      <c r="A1038" t="s">
        <v>28</v>
      </c>
      <c r="B1038">
        <v>3</v>
      </c>
      <c r="C1038">
        <v>5</v>
      </c>
      <c r="D1038">
        <v>2</v>
      </c>
      <c r="E1038" t="s">
        <v>25</v>
      </c>
      <c r="F1038">
        <v>50</v>
      </c>
      <c r="G1038">
        <v>1</v>
      </c>
      <c r="H1038">
        <v>20</v>
      </c>
      <c r="I1038" t="s">
        <v>26</v>
      </c>
      <c r="J1038" s="3">
        <v>169.93881500000001</v>
      </c>
      <c r="K1038" s="3">
        <v>18737.439999999999</v>
      </c>
      <c r="L1038" s="3">
        <v>20408.087</v>
      </c>
      <c r="M1038" s="3">
        <v>18737.439999999999</v>
      </c>
      <c r="N1038" s="3">
        <v>17329.107</v>
      </c>
      <c r="O1038" s="4">
        <v>8.1270000000000007</v>
      </c>
      <c r="P1038" s="4">
        <v>17.767700000000001</v>
      </c>
      <c r="Q1038" s="4">
        <v>8.1270000000000007</v>
      </c>
      <c r="R1038" s="5">
        <v>2.9999999999999997E-4</v>
      </c>
      <c r="S1038">
        <v>2</v>
      </c>
      <c r="T1038" t="b">
        <v>0</v>
      </c>
      <c r="U1038">
        <v>2</v>
      </c>
      <c r="V1038" s="4">
        <v>5.49</v>
      </c>
    </row>
    <row r="1039" spans="1:22" hidden="1" x14ac:dyDescent="0.35">
      <c r="A1039" t="s">
        <v>28</v>
      </c>
      <c r="B1039">
        <v>3</v>
      </c>
      <c r="C1039">
        <v>5</v>
      </c>
      <c r="D1039">
        <v>2</v>
      </c>
      <c r="E1039" t="s">
        <v>25</v>
      </c>
      <c r="F1039">
        <v>50</v>
      </c>
      <c r="G1039">
        <v>3</v>
      </c>
      <c r="H1039">
        <v>20</v>
      </c>
      <c r="I1039" t="s">
        <v>26</v>
      </c>
      <c r="J1039" s="3">
        <v>169.93881500000001</v>
      </c>
      <c r="K1039" s="3">
        <v>18737.439999999999</v>
      </c>
      <c r="L1039" s="3">
        <v>20408.087</v>
      </c>
      <c r="M1039" s="3">
        <v>18737.439999999999</v>
      </c>
      <c r="N1039" s="3">
        <v>17329.107</v>
      </c>
      <c r="O1039" s="4">
        <v>8.1270000000000007</v>
      </c>
      <c r="P1039" s="4">
        <v>17.767700000000001</v>
      </c>
      <c r="Q1039" s="4">
        <v>8.1270000000000007</v>
      </c>
      <c r="R1039" s="5">
        <v>2.9999999999999997E-4</v>
      </c>
      <c r="S1039">
        <v>2</v>
      </c>
      <c r="T1039" t="b">
        <v>0</v>
      </c>
      <c r="U1039">
        <v>2</v>
      </c>
      <c r="V1039" s="4">
        <v>15.43</v>
      </c>
    </row>
    <row r="1040" spans="1:22" hidden="1" x14ac:dyDescent="0.35">
      <c r="A1040" t="s">
        <v>28</v>
      </c>
      <c r="B1040">
        <v>3</v>
      </c>
      <c r="C1040">
        <v>5</v>
      </c>
      <c r="D1040">
        <v>2</v>
      </c>
      <c r="E1040" t="s">
        <v>25</v>
      </c>
      <c r="F1040">
        <v>200</v>
      </c>
      <c r="G1040">
        <v>1</v>
      </c>
      <c r="H1040">
        <v>20</v>
      </c>
      <c r="I1040" t="s">
        <v>26</v>
      </c>
      <c r="J1040" s="3">
        <v>169.93881500000001</v>
      </c>
      <c r="K1040" s="3">
        <v>18737.439999999999</v>
      </c>
      <c r="L1040" s="3">
        <v>20408.087</v>
      </c>
      <c r="M1040" s="3">
        <v>18737.439999999999</v>
      </c>
      <c r="N1040" s="3">
        <v>17329.107</v>
      </c>
      <c r="O1040" s="4">
        <v>8.1270000000000007</v>
      </c>
      <c r="P1040" s="4">
        <v>17.767700000000001</v>
      </c>
      <c r="Q1040" s="4">
        <v>8.1270000000000007</v>
      </c>
      <c r="R1040" s="5">
        <v>2.9999999999999997E-4</v>
      </c>
      <c r="S1040">
        <v>2</v>
      </c>
      <c r="T1040" t="b">
        <v>0</v>
      </c>
      <c r="U1040">
        <v>2</v>
      </c>
      <c r="V1040" s="4">
        <v>5.62</v>
      </c>
    </row>
    <row r="1041" spans="1:22" hidden="1" x14ac:dyDescent="0.35">
      <c r="A1041" t="s">
        <v>28</v>
      </c>
      <c r="B1041">
        <v>3</v>
      </c>
      <c r="C1041">
        <v>5</v>
      </c>
      <c r="D1041">
        <v>2</v>
      </c>
      <c r="E1041" t="s">
        <v>25</v>
      </c>
      <c r="F1041">
        <v>200</v>
      </c>
      <c r="G1041">
        <v>3</v>
      </c>
      <c r="H1041">
        <v>20</v>
      </c>
      <c r="I1041" t="s">
        <v>26</v>
      </c>
      <c r="J1041" s="3">
        <v>169.93881500000001</v>
      </c>
      <c r="K1041" s="3">
        <v>18737.439999999999</v>
      </c>
      <c r="L1041" s="3">
        <v>20408.087</v>
      </c>
      <c r="M1041" s="3">
        <v>18737.439999999999</v>
      </c>
      <c r="N1041" s="3">
        <v>17329.107</v>
      </c>
      <c r="O1041" s="4">
        <v>8.1270000000000007</v>
      </c>
      <c r="P1041" s="4">
        <v>17.767700000000001</v>
      </c>
      <c r="Q1041" s="4">
        <v>8.1270000000000007</v>
      </c>
      <c r="R1041" s="5">
        <v>2.9999999999999997E-4</v>
      </c>
      <c r="S1041">
        <v>2</v>
      </c>
      <c r="T1041" t="b">
        <v>0</v>
      </c>
      <c r="U1041">
        <v>2</v>
      </c>
      <c r="V1041" s="4">
        <v>15.22</v>
      </c>
    </row>
    <row r="1042" spans="1:22" hidden="1" x14ac:dyDescent="0.35">
      <c r="A1042" t="s">
        <v>28</v>
      </c>
      <c r="B1042">
        <v>3</v>
      </c>
      <c r="C1042">
        <v>5</v>
      </c>
      <c r="D1042">
        <v>5</v>
      </c>
      <c r="E1042" t="s">
        <v>22</v>
      </c>
      <c r="F1042">
        <v>50</v>
      </c>
      <c r="G1042">
        <v>1</v>
      </c>
      <c r="H1042">
        <v>20</v>
      </c>
      <c r="I1042" t="s">
        <v>26</v>
      </c>
      <c r="J1042" s="3">
        <v>405.832673</v>
      </c>
      <c r="K1042" s="3">
        <v>19286.454000000002</v>
      </c>
      <c r="L1042" s="3">
        <v>20408.087</v>
      </c>
      <c r="M1042" s="3">
        <v>19286.454000000002</v>
      </c>
      <c r="N1042" s="3">
        <v>17329.107</v>
      </c>
      <c r="O1042" s="4">
        <v>11.2951</v>
      </c>
      <c r="P1042" s="4">
        <v>17.767700000000001</v>
      </c>
      <c r="Q1042" s="4">
        <v>11.2951</v>
      </c>
      <c r="R1042" s="5">
        <v>2.9999999999999997E-4</v>
      </c>
      <c r="S1042">
        <v>2</v>
      </c>
      <c r="T1042" t="b">
        <v>0</v>
      </c>
      <c r="U1042">
        <v>2</v>
      </c>
      <c r="V1042" s="4">
        <v>21.15</v>
      </c>
    </row>
    <row r="1043" spans="1:22" hidden="1" x14ac:dyDescent="0.35">
      <c r="A1043" t="s">
        <v>28</v>
      </c>
      <c r="B1043">
        <v>3</v>
      </c>
      <c r="C1043">
        <v>5</v>
      </c>
      <c r="D1043">
        <v>5</v>
      </c>
      <c r="E1043" t="s">
        <v>22</v>
      </c>
      <c r="F1043">
        <v>50</v>
      </c>
      <c r="G1043">
        <v>3</v>
      </c>
      <c r="H1043">
        <v>20</v>
      </c>
      <c r="I1043" t="s">
        <v>26</v>
      </c>
      <c r="J1043" s="3">
        <v>148.895442</v>
      </c>
      <c r="K1043" s="3">
        <v>17329.107</v>
      </c>
      <c r="L1043" s="3">
        <v>18737.439999999999</v>
      </c>
      <c r="M1043" s="3">
        <v>17329.107</v>
      </c>
      <c r="N1043" s="3">
        <v>17329.107</v>
      </c>
      <c r="O1043" s="4">
        <v>0</v>
      </c>
      <c r="P1043" s="4">
        <v>8.1270000000000007</v>
      </c>
      <c r="Q1043" s="4">
        <v>0</v>
      </c>
      <c r="R1043" s="5">
        <v>1.41E-2</v>
      </c>
      <c r="S1043">
        <v>12</v>
      </c>
      <c r="T1043" t="b">
        <v>0</v>
      </c>
      <c r="U1043">
        <v>3</v>
      </c>
      <c r="V1043" s="4">
        <v>62.24</v>
      </c>
    </row>
    <row r="1044" spans="1:22" hidden="1" x14ac:dyDescent="0.35">
      <c r="A1044" t="s">
        <v>28</v>
      </c>
      <c r="B1044">
        <v>3</v>
      </c>
      <c r="C1044">
        <v>5</v>
      </c>
      <c r="D1044">
        <v>5</v>
      </c>
      <c r="E1044" t="s">
        <v>22</v>
      </c>
      <c r="F1044">
        <v>200</v>
      </c>
      <c r="G1044">
        <v>1</v>
      </c>
      <c r="H1044">
        <v>20</v>
      </c>
      <c r="I1044" t="s">
        <v>26</v>
      </c>
      <c r="J1044" s="3">
        <v>402.45563499999997</v>
      </c>
      <c r="K1044" s="3">
        <v>19286.454000000002</v>
      </c>
      <c r="L1044" s="3">
        <v>19286.454000000002</v>
      </c>
      <c r="M1044" s="3">
        <v>19286.454000000002</v>
      </c>
      <c r="N1044" s="3">
        <v>17329.107</v>
      </c>
      <c r="O1044" s="4">
        <v>11.2951</v>
      </c>
      <c r="P1044" s="4">
        <v>11.2951</v>
      </c>
      <c r="Q1044" s="4">
        <v>11.2951</v>
      </c>
      <c r="R1044" s="5">
        <v>2.0000000000000001E-4</v>
      </c>
      <c r="S1044">
        <v>2</v>
      </c>
      <c r="T1044" t="b">
        <v>0</v>
      </c>
      <c r="U1044">
        <v>1</v>
      </c>
      <c r="V1044" s="4">
        <v>32.049999999999997</v>
      </c>
    </row>
    <row r="1045" spans="1:22" hidden="1" x14ac:dyDescent="0.35">
      <c r="A1045" t="s">
        <v>28</v>
      </c>
      <c r="B1045">
        <v>3</v>
      </c>
      <c r="C1045">
        <v>5</v>
      </c>
      <c r="D1045">
        <v>5</v>
      </c>
      <c r="E1045" t="s">
        <v>22</v>
      </c>
      <c r="F1045">
        <v>200</v>
      </c>
      <c r="G1045">
        <v>3</v>
      </c>
      <c r="H1045">
        <v>20</v>
      </c>
      <c r="I1045" t="s">
        <v>26</v>
      </c>
      <c r="J1045" s="3">
        <v>146.842747</v>
      </c>
      <c r="K1045" s="3">
        <v>17329.107</v>
      </c>
      <c r="L1045" s="3">
        <v>19286.454000000002</v>
      </c>
      <c r="M1045" s="3">
        <v>17329.107</v>
      </c>
      <c r="N1045" s="3">
        <v>17329.107</v>
      </c>
      <c r="O1045" s="4">
        <v>0</v>
      </c>
      <c r="P1045" s="4">
        <v>11.2951</v>
      </c>
      <c r="Q1045" s="4">
        <v>0</v>
      </c>
      <c r="R1045" s="5">
        <v>1.4200000000000001E-2</v>
      </c>
      <c r="S1045">
        <v>12</v>
      </c>
      <c r="T1045" t="b">
        <v>0</v>
      </c>
      <c r="U1045">
        <v>5</v>
      </c>
      <c r="V1045" s="4">
        <v>107.92</v>
      </c>
    </row>
    <row r="1046" spans="1:22" hidden="1" x14ac:dyDescent="0.35">
      <c r="A1046" t="s">
        <v>28</v>
      </c>
      <c r="B1046">
        <v>3</v>
      </c>
      <c r="C1046">
        <v>5</v>
      </c>
      <c r="D1046">
        <v>5</v>
      </c>
      <c r="E1046" t="s">
        <v>25</v>
      </c>
      <c r="F1046">
        <v>50</v>
      </c>
      <c r="G1046">
        <v>1</v>
      </c>
      <c r="H1046">
        <v>20</v>
      </c>
      <c r="I1046" t="s">
        <v>26</v>
      </c>
      <c r="J1046" s="3">
        <v>407.75142199999999</v>
      </c>
      <c r="K1046" s="3">
        <v>20408.087</v>
      </c>
      <c r="L1046" s="3">
        <v>20408.087</v>
      </c>
      <c r="M1046" s="3">
        <v>20408.087</v>
      </c>
      <c r="N1046" s="3">
        <v>17329.107</v>
      </c>
      <c r="O1046" s="4">
        <v>17.767700000000001</v>
      </c>
      <c r="P1046" s="4">
        <v>17.767700000000001</v>
      </c>
      <c r="Q1046" s="4">
        <v>17.767700000000001</v>
      </c>
      <c r="R1046" s="5">
        <v>1E-4</v>
      </c>
      <c r="S1046">
        <v>1</v>
      </c>
      <c r="T1046" t="b">
        <v>0</v>
      </c>
      <c r="U1046">
        <v>1</v>
      </c>
      <c r="V1046" s="4">
        <v>5.94</v>
      </c>
    </row>
    <row r="1047" spans="1:22" hidden="1" x14ac:dyDescent="0.35">
      <c r="A1047" t="s">
        <v>28</v>
      </c>
      <c r="B1047">
        <v>3</v>
      </c>
      <c r="C1047">
        <v>5</v>
      </c>
      <c r="D1047">
        <v>5</v>
      </c>
      <c r="E1047" t="s">
        <v>25</v>
      </c>
      <c r="F1047">
        <v>50</v>
      </c>
      <c r="G1047">
        <v>3</v>
      </c>
      <c r="H1047">
        <v>20</v>
      </c>
      <c r="I1047" t="s">
        <v>26</v>
      </c>
      <c r="J1047" s="3">
        <v>407.75142199999999</v>
      </c>
      <c r="K1047" s="3">
        <v>20408.087</v>
      </c>
      <c r="L1047" s="3">
        <v>20408.087</v>
      </c>
      <c r="M1047" s="3">
        <v>20408.087</v>
      </c>
      <c r="N1047" s="3">
        <v>17329.107</v>
      </c>
      <c r="O1047" s="4">
        <v>17.767700000000001</v>
      </c>
      <c r="P1047" s="4">
        <v>17.767700000000001</v>
      </c>
      <c r="Q1047" s="4">
        <v>17.767700000000001</v>
      </c>
      <c r="R1047" s="5">
        <v>1E-4</v>
      </c>
      <c r="S1047">
        <v>1</v>
      </c>
      <c r="T1047" t="b">
        <v>0</v>
      </c>
      <c r="U1047">
        <v>1</v>
      </c>
      <c r="V1047" s="4">
        <v>16.25</v>
      </c>
    </row>
    <row r="1048" spans="1:22" hidden="1" x14ac:dyDescent="0.35">
      <c r="A1048" t="s">
        <v>28</v>
      </c>
      <c r="B1048">
        <v>3</v>
      </c>
      <c r="C1048">
        <v>5</v>
      </c>
      <c r="D1048">
        <v>5</v>
      </c>
      <c r="E1048" t="s">
        <v>25</v>
      </c>
      <c r="F1048">
        <v>200</v>
      </c>
      <c r="G1048">
        <v>1</v>
      </c>
      <c r="H1048">
        <v>20</v>
      </c>
      <c r="I1048" t="s">
        <v>26</v>
      </c>
      <c r="J1048" s="3">
        <v>407.75142199999999</v>
      </c>
      <c r="K1048" s="3">
        <v>20408.087</v>
      </c>
      <c r="L1048" s="3">
        <v>20408.087</v>
      </c>
      <c r="M1048" s="3">
        <v>20408.087</v>
      </c>
      <c r="N1048" s="3">
        <v>17329.107</v>
      </c>
      <c r="O1048" s="4">
        <v>17.767700000000001</v>
      </c>
      <c r="P1048" s="4">
        <v>17.767700000000001</v>
      </c>
      <c r="Q1048" s="4">
        <v>17.767700000000001</v>
      </c>
      <c r="R1048" s="5">
        <v>1E-4</v>
      </c>
      <c r="S1048">
        <v>1</v>
      </c>
      <c r="T1048" t="b">
        <v>0</v>
      </c>
      <c r="U1048">
        <v>1</v>
      </c>
      <c r="V1048" s="4">
        <v>5.68</v>
      </c>
    </row>
    <row r="1049" spans="1:22" hidden="1" x14ac:dyDescent="0.35">
      <c r="A1049" t="s">
        <v>28</v>
      </c>
      <c r="B1049">
        <v>3</v>
      </c>
      <c r="C1049">
        <v>5</v>
      </c>
      <c r="D1049">
        <v>5</v>
      </c>
      <c r="E1049" t="s">
        <v>25</v>
      </c>
      <c r="F1049">
        <v>200</v>
      </c>
      <c r="G1049">
        <v>3</v>
      </c>
      <c r="H1049">
        <v>20</v>
      </c>
      <c r="I1049" t="s">
        <v>26</v>
      </c>
      <c r="J1049" s="3">
        <v>407.75142199999999</v>
      </c>
      <c r="K1049" s="3">
        <v>20408.087</v>
      </c>
      <c r="L1049" s="3">
        <v>20408.087</v>
      </c>
      <c r="M1049" s="3">
        <v>20408.087</v>
      </c>
      <c r="N1049" s="3">
        <v>17329.107</v>
      </c>
      <c r="O1049" s="4">
        <v>17.767700000000001</v>
      </c>
      <c r="P1049" s="4">
        <v>17.767700000000001</v>
      </c>
      <c r="Q1049" s="4">
        <v>17.767700000000001</v>
      </c>
      <c r="R1049" s="5">
        <v>1E-4</v>
      </c>
      <c r="S1049">
        <v>1</v>
      </c>
      <c r="T1049" t="b">
        <v>0</v>
      </c>
      <c r="U1049">
        <v>1</v>
      </c>
      <c r="V1049" s="4">
        <v>15.43</v>
      </c>
    </row>
    <row r="1050" spans="1:22" hidden="1" x14ac:dyDescent="0.35">
      <c r="A1050" t="s">
        <v>28</v>
      </c>
      <c r="B1050">
        <v>3</v>
      </c>
      <c r="C1050">
        <v>5</v>
      </c>
      <c r="D1050">
        <v>10</v>
      </c>
      <c r="E1050" t="s">
        <v>22</v>
      </c>
      <c r="F1050">
        <v>50</v>
      </c>
      <c r="G1050">
        <v>1</v>
      </c>
      <c r="H1050">
        <v>20</v>
      </c>
      <c r="I1050" t="s">
        <v>26</v>
      </c>
      <c r="J1050" s="3">
        <v>799.66338099999996</v>
      </c>
      <c r="K1050" s="3">
        <v>17329.107</v>
      </c>
      <c r="L1050" s="3">
        <v>17329.107</v>
      </c>
      <c r="M1050" s="3">
        <v>17329.107</v>
      </c>
      <c r="N1050" s="3">
        <v>17329.107</v>
      </c>
      <c r="O1050" s="4">
        <v>0</v>
      </c>
      <c r="P1050" s="4">
        <v>0</v>
      </c>
      <c r="Q1050" s="4">
        <v>0</v>
      </c>
      <c r="R1050" s="5">
        <v>2.0000000000000001E-4</v>
      </c>
      <c r="S1050">
        <v>2</v>
      </c>
      <c r="T1050" t="b">
        <v>0</v>
      </c>
      <c r="U1050">
        <v>1</v>
      </c>
      <c r="V1050" s="4">
        <v>21.02</v>
      </c>
    </row>
    <row r="1051" spans="1:22" hidden="1" x14ac:dyDescent="0.35">
      <c r="A1051" t="s">
        <v>28</v>
      </c>
      <c r="B1051">
        <v>3</v>
      </c>
      <c r="C1051">
        <v>5</v>
      </c>
      <c r="D1051">
        <v>10</v>
      </c>
      <c r="E1051" t="s">
        <v>22</v>
      </c>
      <c r="F1051">
        <v>50</v>
      </c>
      <c r="G1051">
        <v>3</v>
      </c>
      <c r="H1051">
        <v>20</v>
      </c>
      <c r="I1051" t="s">
        <v>26</v>
      </c>
      <c r="J1051" s="3">
        <v>235.11539200000001</v>
      </c>
      <c r="K1051" s="3">
        <v>17329.107</v>
      </c>
      <c r="L1051" s="3">
        <v>18737.439999999999</v>
      </c>
      <c r="M1051" s="3">
        <v>17329.107</v>
      </c>
      <c r="N1051" s="3">
        <v>17329.107</v>
      </c>
      <c r="O1051" s="4">
        <v>0</v>
      </c>
      <c r="P1051" s="4">
        <v>8.1270000000000007</v>
      </c>
      <c r="Q1051" s="4">
        <v>0</v>
      </c>
      <c r="R1051" s="5">
        <v>1.5800000000000002E-2</v>
      </c>
      <c r="S1051">
        <v>12</v>
      </c>
      <c r="T1051" t="b">
        <v>0</v>
      </c>
      <c r="U1051">
        <v>2</v>
      </c>
      <c r="V1051" s="4">
        <v>61.41</v>
      </c>
    </row>
    <row r="1052" spans="1:22" hidden="1" x14ac:dyDescent="0.35">
      <c r="A1052" t="s">
        <v>28</v>
      </c>
      <c r="B1052">
        <v>3</v>
      </c>
      <c r="C1052">
        <v>5</v>
      </c>
      <c r="D1052">
        <v>10</v>
      </c>
      <c r="E1052" t="s">
        <v>22</v>
      </c>
      <c r="F1052">
        <v>200</v>
      </c>
      <c r="G1052">
        <v>1</v>
      </c>
      <c r="H1052">
        <v>20</v>
      </c>
      <c r="I1052" t="s">
        <v>26</v>
      </c>
      <c r="J1052" s="3">
        <v>795.400172</v>
      </c>
      <c r="K1052" s="3" t="s">
        <v>24</v>
      </c>
      <c r="L1052" s="3" t="s">
        <v>24</v>
      </c>
      <c r="M1052" s="3" t="s">
        <v>24</v>
      </c>
      <c r="N1052" s="3">
        <v>17329.107</v>
      </c>
      <c r="O1052" s="4"/>
      <c r="P1052" s="4"/>
      <c r="Q1052" s="4"/>
      <c r="R1052" s="5">
        <v>0</v>
      </c>
      <c r="S1052">
        <v>0</v>
      </c>
      <c r="T1052" t="b">
        <v>1</v>
      </c>
      <c r="U1052">
        <v>-1</v>
      </c>
      <c r="V1052" s="4">
        <v>31.47</v>
      </c>
    </row>
    <row r="1053" spans="1:22" hidden="1" x14ac:dyDescent="0.35">
      <c r="A1053" t="s">
        <v>28</v>
      </c>
      <c r="B1053">
        <v>3</v>
      </c>
      <c r="C1053">
        <v>5</v>
      </c>
      <c r="D1053">
        <v>10</v>
      </c>
      <c r="E1053" t="s">
        <v>22</v>
      </c>
      <c r="F1053">
        <v>200</v>
      </c>
      <c r="G1053">
        <v>3</v>
      </c>
      <c r="H1053">
        <v>20</v>
      </c>
      <c r="I1053" t="s">
        <v>26</v>
      </c>
      <c r="J1053" s="3">
        <v>227.77995899999999</v>
      </c>
      <c r="K1053" s="3">
        <v>17329.107</v>
      </c>
      <c r="L1053" s="3">
        <v>18737.439999999999</v>
      </c>
      <c r="M1053" s="3">
        <v>17329.107</v>
      </c>
      <c r="N1053" s="3">
        <v>17329.107</v>
      </c>
      <c r="O1053" s="4">
        <v>0</v>
      </c>
      <c r="P1053" s="4">
        <v>8.1270000000000007</v>
      </c>
      <c r="Q1053" s="4">
        <v>0</v>
      </c>
      <c r="R1053" s="5">
        <v>1.83E-2</v>
      </c>
      <c r="S1053">
        <v>12</v>
      </c>
      <c r="T1053" t="b">
        <v>0</v>
      </c>
      <c r="U1053">
        <v>3</v>
      </c>
      <c r="V1053" s="4">
        <v>116.6</v>
      </c>
    </row>
    <row r="1054" spans="1:22" hidden="1" x14ac:dyDescent="0.35">
      <c r="A1054" t="s">
        <v>28</v>
      </c>
      <c r="B1054">
        <v>3</v>
      </c>
      <c r="C1054">
        <v>5</v>
      </c>
      <c r="D1054">
        <v>10</v>
      </c>
      <c r="E1054" t="s">
        <v>25</v>
      </c>
      <c r="F1054">
        <v>50</v>
      </c>
      <c r="G1054">
        <v>1</v>
      </c>
      <c r="H1054">
        <v>20</v>
      </c>
      <c r="I1054" t="s">
        <v>26</v>
      </c>
      <c r="J1054" s="3">
        <v>799.66338099999996</v>
      </c>
      <c r="K1054" s="3">
        <v>17329.107</v>
      </c>
      <c r="L1054" s="3">
        <v>17329.107</v>
      </c>
      <c r="M1054" s="3">
        <v>17329.107</v>
      </c>
      <c r="N1054" s="3">
        <v>17329.107</v>
      </c>
      <c r="O1054" s="4">
        <v>0</v>
      </c>
      <c r="P1054" s="4">
        <v>0</v>
      </c>
      <c r="Q1054" s="4">
        <v>0</v>
      </c>
      <c r="R1054" s="5">
        <v>2.0000000000000001E-4</v>
      </c>
      <c r="S1054">
        <v>2</v>
      </c>
      <c r="T1054" t="b">
        <v>0</v>
      </c>
      <c r="U1054">
        <v>1</v>
      </c>
      <c r="V1054" s="4">
        <v>5.67</v>
      </c>
    </row>
    <row r="1055" spans="1:22" hidden="1" x14ac:dyDescent="0.35">
      <c r="A1055" t="s">
        <v>28</v>
      </c>
      <c r="B1055">
        <v>3</v>
      </c>
      <c r="C1055">
        <v>5</v>
      </c>
      <c r="D1055">
        <v>10</v>
      </c>
      <c r="E1055" t="s">
        <v>25</v>
      </c>
      <c r="F1055">
        <v>50</v>
      </c>
      <c r="G1055">
        <v>3</v>
      </c>
      <c r="H1055">
        <v>20</v>
      </c>
      <c r="I1055" t="s">
        <v>26</v>
      </c>
      <c r="J1055" s="3">
        <v>799.66338099999996</v>
      </c>
      <c r="K1055" s="3">
        <v>17329.107</v>
      </c>
      <c r="L1055" s="3">
        <v>17329.107</v>
      </c>
      <c r="M1055" s="3">
        <v>17329.107</v>
      </c>
      <c r="N1055" s="3">
        <v>17329.107</v>
      </c>
      <c r="O1055" s="4">
        <v>0</v>
      </c>
      <c r="P1055" s="4">
        <v>0</v>
      </c>
      <c r="Q1055" s="4">
        <v>0</v>
      </c>
      <c r="R1055" s="5">
        <v>2.0000000000000001E-4</v>
      </c>
      <c r="S1055">
        <v>2</v>
      </c>
      <c r="T1055" t="b">
        <v>0</v>
      </c>
      <c r="U1055">
        <v>1</v>
      </c>
      <c r="V1055" s="4">
        <v>15.53</v>
      </c>
    </row>
    <row r="1056" spans="1:22" hidden="1" x14ac:dyDescent="0.35">
      <c r="A1056" t="s">
        <v>28</v>
      </c>
      <c r="B1056">
        <v>3</v>
      </c>
      <c r="C1056">
        <v>5</v>
      </c>
      <c r="D1056">
        <v>10</v>
      </c>
      <c r="E1056" t="s">
        <v>25</v>
      </c>
      <c r="F1056">
        <v>200</v>
      </c>
      <c r="G1056">
        <v>1</v>
      </c>
      <c r="H1056">
        <v>20</v>
      </c>
      <c r="I1056" t="s">
        <v>26</v>
      </c>
      <c r="J1056" s="3">
        <v>799.66338099999996</v>
      </c>
      <c r="K1056" s="3">
        <v>17329.107</v>
      </c>
      <c r="L1056" s="3">
        <v>17329.107</v>
      </c>
      <c r="M1056" s="3">
        <v>17329.107</v>
      </c>
      <c r="N1056" s="3">
        <v>17329.107</v>
      </c>
      <c r="O1056" s="4">
        <v>0</v>
      </c>
      <c r="P1056" s="4">
        <v>0</v>
      </c>
      <c r="Q1056" s="4">
        <v>0</v>
      </c>
      <c r="R1056" s="5">
        <v>2.0000000000000001E-4</v>
      </c>
      <c r="S1056">
        <v>2</v>
      </c>
      <c r="T1056" t="b">
        <v>0</v>
      </c>
      <c r="U1056">
        <v>1</v>
      </c>
      <c r="V1056" s="4">
        <v>5.57</v>
      </c>
    </row>
    <row r="1057" spans="1:22" hidden="1" x14ac:dyDescent="0.35">
      <c r="A1057" t="s">
        <v>28</v>
      </c>
      <c r="B1057">
        <v>3</v>
      </c>
      <c r="C1057">
        <v>5</v>
      </c>
      <c r="D1057">
        <v>10</v>
      </c>
      <c r="E1057" t="s">
        <v>25</v>
      </c>
      <c r="F1057">
        <v>200</v>
      </c>
      <c r="G1057">
        <v>3</v>
      </c>
      <c r="H1057">
        <v>20</v>
      </c>
      <c r="I1057" t="s">
        <v>26</v>
      </c>
      <c r="J1057" s="3">
        <v>799.66338099999996</v>
      </c>
      <c r="K1057" s="3">
        <v>17329.107</v>
      </c>
      <c r="L1057" s="3">
        <v>17329.107</v>
      </c>
      <c r="M1057" s="3">
        <v>17329.107</v>
      </c>
      <c r="N1057" s="3">
        <v>17329.107</v>
      </c>
      <c r="O1057" s="4">
        <v>0</v>
      </c>
      <c r="P1057" s="4">
        <v>0</v>
      </c>
      <c r="Q1057" s="4">
        <v>0</v>
      </c>
      <c r="R1057" s="5">
        <v>2.0000000000000001E-4</v>
      </c>
      <c r="S1057">
        <v>2</v>
      </c>
      <c r="T1057" t="b">
        <v>0</v>
      </c>
      <c r="U1057">
        <v>1</v>
      </c>
      <c r="V1057" s="4">
        <v>15.59</v>
      </c>
    </row>
    <row r="1058" spans="1:22" hidden="1" x14ac:dyDescent="0.35">
      <c r="A1058" t="s">
        <v>28</v>
      </c>
      <c r="B1058">
        <v>4</v>
      </c>
      <c r="C1058">
        <v>1</v>
      </c>
      <c r="D1058">
        <v>2</v>
      </c>
      <c r="E1058" t="s">
        <v>22</v>
      </c>
      <c r="F1058">
        <v>50</v>
      </c>
      <c r="G1058">
        <v>1</v>
      </c>
      <c r="H1058">
        <v>20</v>
      </c>
      <c r="I1058" t="s">
        <v>26</v>
      </c>
      <c r="J1058" s="3">
        <v>73.871325999999996</v>
      </c>
      <c r="K1058" s="3">
        <v>22134.281999999999</v>
      </c>
      <c r="L1058" s="3">
        <v>22134.281999999999</v>
      </c>
      <c r="M1058" s="3">
        <v>22134.281999999999</v>
      </c>
      <c r="N1058" s="3">
        <v>22134.281999999999</v>
      </c>
      <c r="O1058" s="4">
        <v>0</v>
      </c>
      <c r="P1058" s="4">
        <v>0</v>
      </c>
      <c r="Q1058" s="4">
        <v>0</v>
      </c>
      <c r="R1058" s="5">
        <v>2.6200000000000001E-2</v>
      </c>
      <c r="S1058">
        <v>1</v>
      </c>
      <c r="T1058" t="b">
        <v>0</v>
      </c>
      <c r="U1058">
        <v>1</v>
      </c>
      <c r="V1058" s="4">
        <v>5.67</v>
      </c>
    </row>
    <row r="1059" spans="1:22" hidden="1" x14ac:dyDescent="0.35">
      <c r="A1059" t="s">
        <v>28</v>
      </c>
      <c r="B1059">
        <v>4</v>
      </c>
      <c r="C1059">
        <v>1</v>
      </c>
      <c r="D1059">
        <v>2</v>
      </c>
      <c r="E1059" t="s">
        <v>22</v>
      </c>
      <c r="F1059">
        <v>50</v>
      </c>
      <c r="G1059">
        <v>3</v>
      </c>
      <c r="H1059">
        <v>20</v>
      </c>
      <c r="I1059" t="s">
        <v>26</v>
      </c>
      <c r="J1059" s="3">
        <v>70.948406000000006</v>
      </c>
      <c r="K1059" s="3">
        <v>22134.281999999999</v>
      </c>
      <c r="L1059" s="3">
        <v>22134.281999999999</v>
      </c>
      <c r="M1059" s="3">
        <v>22134.281999999999</v>
      </c>
      <c r="N1059" s="3">
        <v>22134.281999999999</v>
      </c>
      <c r="O1059" s="4">
        <v>0</v>
      </c>
      <c r="P1059" s="4">
        <v>0</v>
      </c>
      <c r="Q1059" s="4">
        <v>0</v>
      </c>
      <c r="R1059" s="5">
        <v>8.8000000000000005E-3</v>
      </c>
      <c r="S1059">
        <v>1</v>
      </c>
      <c r="T1059" t="b">
        <v>0</v>
      </c>
      <c r="U1059">
        <v>1</v>
      </c>
      <c r="V1059" s="4">
        <v>18.760000000000002</v>
      </c>
    </row>
    <row r="1060" spans="1:22" hidden="1" x14ac:dyDescent="0.35">
      <c r="A1060" t="s">
        <v>28</v>
      </c>
      <c r="B1060">
        <v>4</v>
      </c>
      <c r="C1060">
        <v>1</v>
      </c>
      <c r="D1060">
        <v>2</v>
      </c>
      <c r="E1060" t="s">
        <v>22</v>
      </c>
      <c r="F1060">
        <v>200</v>
      </c>
      <c r="G1060">
        <v>1</v>
      </c>
      <c r="H1060">
        <v>20</v>
      </c>
      <c r="I1060" t="s">
        <v>26</v>
      </c>
      <c r="J1060" s="3">
        <v>73.871325999999996</v>
      </c>
      <c r="K1060" s="3">
        <v>22134.281999999999</v>
      </c>
      <c r="L1060" s="3">
        <v>22134.281999999999</v>
      </c>
      <c r="M1060" s="3">
        <v>22134.281999999999</v>
      </c>
      <c r="N1060" s="3">
        <v>22134.281999999999</v>
      </c>
      <c r="O1060" s="4">
        <v>0</v>
      </c>
      <c r="P1060" s="4">
        <v>0</v>
      </c>
      <c r="Q1060" s="4">
        <v>0</v>
      </c>
      <c r="R1060" s="5">
        <v>2.6200000000000001E-2</v>
      </c>
      <c r="S1060">
        <v>1</v>
      </c>
      <c r="T1060" t="b">
        <v>0</v>
      </c>
      <c r="U1060">
        <v>1</v>
      </c>
      <c r="V1060" s="4">
        <v>5.65</v>
      </c>
    </row>
    <row r="1061" spans="1:22" hidden="1" x14ac:dyDescent="0.35">
      <c r="A1061" t="s">
        <v>28</v>
      </c>
      <c r="B1061">
        <v>4</v>
      </c>
      <c r="C1061">
        <v>1</v>
      </c>
      <c r="D1061">
        <v>2</v>
      </c>
      <c r="E1061" t="s">
        <v>22</v>
      </c>
      <c r="F1061">
        <v>200</v>
      </c>
      <c r="G1061">
        <v>3</v>
      </c>
      <c r="H1061">
        <v>20</v>
      </c>
      <c r="I1061" t="s">
        <v>26</v>
      </c>
      <c r="J1061" s="3">
        <v>70.948406000000006</v>
      </c>
      <c r="K1061" s="3">
        <v>22134.281999999999</v>
      </c>
      <c r="L1061" s="3">
        <v>22134.281999999999</v>
      </c>
      <c r="M1061" s="3">
        <v>22134.281999999999</v>
      </c>
      <c r="N1061" s="3">
        <v>22134.281999999999</v>
      </c>
      <c r="O1061" s="4">
        <v>0</v>
      </c>
      <c r="P1061" s="4">
        <v>0</v>
      </c>
      <c r="Q1061" s="4">
        <v>0</v>
      </c>
      <c r="R1061" s="5">
        <v>8.8000000000000005E-3</v>
      </c>
      <c r="S1061">
        <v>1</v>
      </c>
      <c r="T1061" t="b">
        <v>0</v>
      </c>
      <c r="U1061">
        <v>1</v>
      </c>
      <c r="V1061" s="4">
        <v>18.739999999999998</v>
      </c>
    </row>
    <row r="1062" spans="1:22" hidden="1" x14ac:dyDescent="0.35">
      <c r="A1062" t="s">
        <v>28</v>
      </c>
      <c r="B1062">
        <v>4</v>
      </c>
      <c r="C1062">
        <v>1</v>
      </c>
      <c r="D1062">
        <v>2</v>
      </c>
      <c r="E1062" t="s">
        <v>25</v>
      </c>
      <c r="F1062">
        <v>50</v>
      </c>
      <c r="G1062">
        <v>1</v>
      </c>
      <c r="H1062">
        <v>20</v>
      </c>
      <c r="I1062" t="s">
        <v>26</v>
      </c>
      <c r="J1062" s="3">
        <v>230.465869</v>
      </c>
      <c r="K1062" s="3">
        <v>22134.281999999999</v>
      </c>
      <c r="L1062" s="3">
        <v>22134.281999999999</v>
      </c>
      <c r="M1062" s="3">
        <v>22134.281999999999</v>
      </c>
      <c r="N1062" s="3">
        <v>22134.281999999999</v>
      </c>
      <c r="O1062" s="4">
        <v>0</v>
      </c>
      <c r="P1062" s="4">
        <v>0</v>
      </c>
      <c r="Q1062" s="4">
        <v>0</v>
      </c>
      <c r="R1062" s="5">
        <v>1E-4</v>
      </c>
      <c r="S1062">
        <v>1</v>
      </c>
      <c r="T1062" t="b">
        <v>0</v>
      </c>
      <c r="U1062">
        <v>1</v>
      </c>
      <c r="V1062" s="4">
        <v>1.17</v>
      </c>
    </row>
    <row r="1063" spans="1:22" hidden="1" x14ac:dyDescent="0.35">
      <c r="A1063" t="s">
        <v>28</v>
      </c>
      <c r="B1063">
        <v>4</v>
      </c>
      <c r="C1063">
        <v>1</v>
      </c>
      <c r="D1063">
        <v>2</v>
      </c>
      <c r="E1063" t="s">
        <v>25</v>
      </c>
      <c r="F1063">
        <v>50</v>
      </c>
      <c r="G1063">
        <v>3</v>
      </c>
      <c r="H1063">
        <v>20</v>
      </c>
      <c r="I1063" t="s">
        <v>26</v>
      </c>
      <c r="J1063" s="3">
        <v>213.774056</v>
      </c>
      <c r="K1063" s="3" t="s">
        <v>24</v>
      </c>
      <c r="L1063" s="3" t="s">
        <v>24</v>
      </c>
      <c r="M1063" s="3" t="s">
        <v>24</v>
      </c>
      <c r="N1063" s="3">
        <v>22134.281999999999</v>
      </c>
      <c r="O1063" s="4"/>
      <c r="P1063" s="4"/>
      <c r="Q1063" s="4"/>
      <c r="R1063" s="5">
        <v>0</v>
      </c>
      <c r="S1063">
        <v>0</v>
      </c>
      <c r="T1063" t="b">
        <v>1</v>
      </c>
      <c r="U1063">
        <v>-1</v>
      </c>
      <c r="V1063" s="4">
        <v>2.66</v>
      </c>
    </row>
    <row r="1064" spans="1:22" hidden="1" x14ac:dyDescent="0.35">
      <c r="A1064" t="s">
        <v>28</v>
      </c>
      <c r="B1064">
        <v>4</v>
      </c>
      <c r="C1064">
        <v>1</v>
      </c>
      <c r="D1064">
        <v>2</v>
      </c>
      <c r="E1064" t="s">
        <v>25</v>
      </c>
      <c r="F1064">
        <v>200</v>
      </c>
      <c r="G1064">
        <v>1</v>
      </c>
      <c r="H1064">
        <v>20</v>
      </c>
      <c r="I1064" t="s">
        <v>26</v>
      </c>
      <c r="J1064" s="3">
        <v>230.465869</v>
      </c>
      <c r="K1064" s="3">
        <v>22134.281999999999</v>
      </c>
      <c r="L1064" s="3">
        <v>22134.281999999999</v>
      </c>
      <c r="M1064" s="3">
        <v>22134.281999999999</v>
      </c>
      <c r="N1064" s="3">
        <v>22134.281999999999</v>
      </c>
      <c r="O1064" s="4">
        <v>0</v>
      </c>
      <c r="P1064" s="4">
        <v>0</v>
      </c>
      <c r="Q1064" s="4">
        <v>0</v>
      </c>
      <c r="R1064" s="5">
        <v>1E-4</v>
      </c>
      <c r="S1064">
        <v>1</v>
      </c>
      <c r="T1064" t="b">
        <v>0</v>
      </c>
      <c r="U1064">
        <v>1</v>
      </c>
      <c r="V1064" s="4">
        <v>1.24</v>
      </c>
    </row>
    <row r="1065" spans="1:22" hidden="1" x14ac:dyDescent="0.35">
      <c r="A1065" t="s">
        <v>28</v>
      </c>
      <c r="B1065">
        <v>4</v>
      </c>
      <c r="C1065">
        <v>1</v>
      </c>
      <c r="D1065">
        <v>2</v>
      </c>
      <c r="E1065" t="s">
        <v>25</v>
      </c>
      <c r="F1065">
        <v>200</v>
      </c>
      <c r="G1065">
        <v>3</v>
      </c>
      <c r="H1065">
        <v>20</v>
      </c>
      <c r="I1065" t="s">
        <v>26</v>
      </c>
      <c r="J1065" s="3">
        <v>213.774056</v>
      </c>
      <c r="K1065" s="3" t="s">
        <v>24</v>
      </c>
      <c r="L1065" s="3" t="s">
        <v>24</v>
      </c>
      <c r="M1065" s="3" t="s">
        <v>24</v>
      </c>
      <c r="N1065" s="3">
        <v>22134.281999999999</v>
      </c>
      <c r="O1065" s="4"/>
      <c r="P1065" s="4"/>
      <c r="Q1065" s="4"/>
      <c r="R1065" s="5">
        <v>0</v>
      </c>
      <c r="S1065">
        <v>0</v>
      </c>
      <c r="T1065" t="b">
        <v>1</v>
      </c>
      <c r="U1065">
        <v>-1</v>
      </c>
      <c r="V1065" s="4">
        <v>2.88</v>
      </c>
    </row>
    <row r="1066" spans="1:22" hidden="1" x14ac:dyDescent="0.35">
      <c r="A1066" t="s">
        <v>28</v>
      </c>
      <c r="B1066">
        <v>4</v>
      </c>
      <c r="C1066">
        <v>1</v>
      </c>
      <c r="D1066">
        <v>5</v>
      </c>
      <c r="E1066" t="s">
        <v>22</v>
      </c>
      <c r="F1066">
        <v>50</v>
      </c>
      <c r="G1066">
        <v>1</v>
      </c>
      <c r="H1066">
        <v>20</v>
      </c>
      <c r="I1066" t="s">
        <v>26</v>
      </c>
      <c r="J1066" s="3">
        <v>165.77422799999999</v>
      </c>
      <c r="K1066" s="3">
        <v>22134.281999999999</v>
      </c>
      <c r="L1066" s="3">
        <v>22134.281999999999</v>
      </c>
      <c r="M1066" s="3">
        <v>22134.281999999999</v>
      </c>
      <c r="N1066" s="3">
        <v>22134.281999999999</v>
      </c>
      <c r="O1066" s="4">
        <v>0</v>
      </c>
      <c r="P1066" s="4">
        <v>0</v>
      </c>
      <c r="Q1066" s="4">
        <v>0</v>
      </c>
      <c r="R1066" s="5">
        <v>5.1000000000000004E-3</v>
      </c>
      <c r="S1066">
        <v>1</v>
      </c>
      <c r="T1066" t="b">
        <v>0</v>
      </c>
      <c r="U1066">
        <v>1</v>
      </c>
      <c r="V1066" s="4">
        <v>5.49</v>
      </c>
    </row>
    <row r="1067" spans="1:22" hidden="1" x14ac:dyDescent="0.35">
      <c r="A1067" t="s">
        <v>28</v>
      </c>
      <c r="B1067">
        <v>4</v>
      </c>
      <c r="C1067">
        <v>1</v>
      </c>
      <c r="D1067">
        <v>5</v>
      </c>
      <c r="E1067" t="s">
        <v>22</v>
      </c>
      <c r="F1067">
        <v>50</v>
      </c>
      <c r="G1067">
        <v>3</v>
      </c>
      <c r="H1067">
        <v>20</v>
      </c>
      <c r="I1067" t="s">
        <v>26</v>
      </c>
      <c r="J1067" s="3">
        <v>165.77422799999999</v>
      </c>
      <c r="K1067" s="3">
        <v>22134.281999999999</v>
      </c>
      <c r="L1067" s="3">
        <v>22134.281999999999</v>
      </c>
      <c r="M1067" s="3">
        <v>22134.281999999999</v>
      </c>
      <c r="N1067" s="3">
        <v>22134.281999999999</v>
      </c>
      <c r="O1067" s="4">
        <v>0</v>
      </c>
      <c r="P1067" s="4">
        <v>0</v>
      </c>
      <c r="Q1067" s="4">
        <v>0</v>
      </c>
      <c r="R1067" s="5">
        <v>5.1000000000000004E-3</v>
      </c>
      <c r="S1067">
        <v>1</v>
      </c>
      <c r="T1067" t="b">
        <v>0</v>
      </c>
      <c r="U1067">
        <v>1</v>
      </c>
      <c r="V1067" s="4">
        <v>16.63</v>
      </c>
    </row>
    <row r="1068" spans="1:22" hidden="1" x14ac:dyDescent="0.35">
      <c r="A1068" t="s">
        <v>28</v>
      </c>
      <c r="B1068">
        <v>4</v>
      </c>
      <c r="C1068">
        <v>1</v>
      </c>
      <c r="D1068">
        <v>5</v>
      </c>
      <c r="E1068" t="s">
        <v>22</v>
      </c>
      <c r="F1068">
        <v>200</v>
      </c>
      <c r="G1068">
        <v>1</v>
      </c>
      <c r="H1068">
        <v>20</v>
      </c>
      <c r="I1068" t="s">
        <v>26</v>
      </c>
      <c r="J1068" s="3">
        <v>165.77422799999999</v>
      </c>
      <c r="K1068" s="3">
        <v>22134.281999999999</v>
      </c>
      <c r="L1068" s="3">
        <v>22134.281999999999</v>
      </c>
      <c r="M1068" s="3">
        <v>22134.281999999999</v>
      </c>
      <c r="N1068" s="3">
        <v>22134.281999999999</v>
      </c>
      <c r="O1068" s="4">
        <v>0</v>
      </c>
      <c r="P1068" s="4">
        <v>0</v>
      </c>
      <c r="Q1068" s="4">
        <v>0</v>
      </c>
      <c r="R1068" s="5">
        <v>5.1000000000000004E-3</v>
      </c>
      <c r="S1068">
        <v>1</v>
      </c>
      <c r="T1068" t="b">
        <v>0</v>
      </c>
      <c r="U1068">
        <v>1</v>
      </c>
      <c r="V1068" s="4">
        <v>5.36</v>
      </c>
    </row>
    <row r="1069" spans="1:22" hidden="1" x14ac:dyDescent="0.35">
      <c r="A1069" t="s">
        <v>28</v>
      </c>
      <c r="B1069">
        <v>4</v>
      </c>
      <c r="C1069">
        <v>1</v>
      </c>
      <c r="D1069">
        <v>5</v>
      </c>
      <c r="E1069" t="s">
        <v>22</v>
      </c>
      <c r="F1069">
        <v>200</v>
      </c>
      <c r="G1069">
        <v>3</v>
      </c>
      <c r="H1069">
        <v>20</v>
      </c>
      <c r="I1069" t="s">
        <v>26</v>
      </c>
      <c r="J1069" s="3">
        <v>165.77422799999999</v>
      </c>
      <c r="K1069" s="3">
        <v>22134.281999999999</v>
      </c>
      <c r="L1069" s="3">
        <v>22134.281999999999</v>
      </c>
      <c r="M1069" s="3">
        <v>22134.281999999999</v>
      </c>
      <c r="N1069" s="3">
        <v>22134.281999999999</v>
      </c>
      <c r="O1069" s="4">
        <v>0</v>
      </c>
      <c r="P1069" s="4">
        <v>0</v>
      </c>
      <c r="Q1069" s="4">
        <v>0</v>
      </c>
      <c r="R1069" s="5">
        <v>5.1000000000000004E-3</v>
      </c>
      <c r="S1069">
        <v>1</v>
      </c>
      <c r="T1069" t="b">
        <v>0</v>
      </c>
      <c r="U1069">
        <v>1</v>
      </c>
      <c r="V1069" s="4">
        <v>16.72</v>
      </c>
    </row>
    <row r="1070" spans="1:22" hidden="1" x14ac:dyDescent="0.35">
      <c r="A1070" t="s">
        <v>28</v>
      </c>
      <c r="B1070">
        <v>4</v>
      </c>
      <c r="C1070">
        <v>1</v>
      </c>
      <c r="D1070">
        <v>5</v>
      </c>
      <c r="E1070" t="s">
        <v>25</v>
      </c>
      <c r="F1070">
        <v>50</v>
      </c>
      <c r="G1070">
        <v>1</v>
      </c>
      <c r="H1070">
        <v>20</v>
      </c>
      <c r="I1070" t="s">
        <v>26</v>
      </c>
      <c r="J1070" s="3">
        <v>585.70457699999997</v>
      </c>
      <c r="K1070" s="3" t="s">
        <v>24</v>
      </c>
      <c r="L1070" s="3" t="s">
        <v>24</v>
      </c>
      <c r="M1070" s="3" t="s">
        <v>24</v>
      </c>
      <c r="N1070" s="3">
        <v>22134.281999999999</v>
      </c>
      <c r="O1070" s="4"/>
      <c r="P1070" s="4"/>
      <c r="Q1070" s="4"/>
      <c r="R1070" s="5">
        <v>0</v>
      </c>
      <c r="S1070">
        <v>0</v>
      </c>
      <c r="T1070" t="b">
        <v>1</v>
      </c>
      <c r="U1070">
        <v>-1</v>
      </c>
      <c r="V1070" s="4">
        <v>1.1499999999999999</v>
      </c>
    </row>
    <row r="1071" spans="1:22" hidden="1" x14ac:dyDescent="0.35">
      <c r="A1071" t="s">
        <v>28</v>
      </c>
      <c r="B1071">
        <v>4</v>
      </c>
      <c r="C1071">
        <v>1</v>
      </c>
      <c r="D1071">
        <v>5</v>
      </c>
      <c r="E1071" t="s">
        <v>25</v>
      </c>
      <c r="F1071">
        <v>50</v>
      </c>
      <c r="G1071">
        <v>3</v>
      </c>
      <c r="H1071">
        <v>20</v>
      </c>
      <c r="I1071" t="s">
        <v>26</v>
      </c>
      <c r="J1071" s="3">
        <v>524.72571600000003</v>
      </c>
      <c r="K1071" s="3" t="s">
        <v>24</v>
      </c>
      <c r="L1071" s="3" t="s">
        <v>24</v>
      </c>
      <c r="M1071" s="3" t="s">
        <v>24</v>
      </c>
      <c r="N1071" s="3">
        <v>22134.281999999999</v>
      </c>
      <c r="O1071" s="4"/>
      <c r="P1071" s="4"/>
      <c r="Q1071" s="4"/>
      <c r="R1071" s="5">
        <v>0</v>
      </c>
      <c r="S1071">
        <v>0</v>
      </c>
      <c r="T1071" t="b">
        <v>1</v>
      </c>
      <c r="U1071">
        <v>-1</v>
      </c>
      <c r="V1071" s="4">
        <v>2.7</v>
      </c>
    </row>
    <row r="1072" spans="1:22" hidden="1" x14ac:dyDescent="0.35">
      <c r="A1072" t="s">
        <v>28</v>
      </c>
      <c r="B1072">
        <v>4</v>
      </c>
      <c r="C1072">
        <v>1</v>
      </c>
      <c r="D1072">
        <v>5</v>
      </c>
      <c r="E1072" t="s">
        <v>25</v>
      </c>
      <c r="F1072">
        <v>200</v>
      </c>
      <c r="G1072">
        <v>1</v>
      </c>
      <c r="H1072">
        <v>20</v>
      </c>
      <c r="I1072" t="s">
        <v>26</v>
      </c>
      <c r="J1072" s="3">
        <v>585.70457699999997</v>
      </c>
      <c r="K1072" s="3" t="s">
        <v>24</v>
      </c>
      <c r="L1072" s="3" t="s">
        <v>24</v>
      </c>
      <c r="M1072" s="3" t="s">
        <v>24</v>
      </c>
      <c r="N1072" s="3">
        <v>22134.281999999999</v>
      </c>
      <c r="O1072" s="4"/>
      <c r="P1072" s="4"/>
      <c r="Q1072" s="4"/>
      <c r="R1072" s="5">
        <v>0</v>
      </c>
      <c r="S1072">
        <v>0</v>
      </c>
      <c r="T1072" t="b">
        <v>1</v>
      </c>
      <c r="U1072">
        <v>-1</v>
      </c>
      <c r="V1072" s="4">
        <v>1.1599999999999999</v>
      </c>
    </row>
    <row r="1073" spans="1:22" hidden="1" x14ac:dyDescent="0.35">
      <c r="A1073" t="s">
        <v>28</v>
      </c>
      <c r="B1073">
        <v>4</v>
      </c>
      <c r="C1073">
        <v>1</v>
      </c>
      <c r="D1073">
        <v>5</v>
      </c>
      <c r="E1073" t="s">
        <v>25</v>
      </c>
      <c r="F1073">
        <v>200</v>
      </c>
      <c r="G1073">
        <v>3</v>
      </c>
      <c r="H1073">
        <v>20</v>
      </c>
      <c r="I1073" t="s">
        <v>26</v>
      </c>
      <c r="J1073" s="3">
        <v>524.72571600000003</v>
      </c>
      <c r="K1073" s="3" t="s">
        <v>24</v>
      </c>
      <c r="L1073" s="3" t="s">
        <v>24</v>
      </c>
      <c r="M1073" s="3" t="s">
        <v>24</v>
      </c>
      <c r="N1073" s="3">
        <v>22134.281999999999</v>
      </c>
      <c r="O1073" s="4"/>
      <c r="P1073" s="4"/>
      <c r="Q1073" s="4"/>
      <c r="R1073" s="5">
        <v>0</v>
      </c>
      <c r="S1073">
        <v>0</v>
      </c>
      <c r="T1073" t="b">
        <v>1</v>
      </c>
      <c r="U1073">
        <v>-1</v>
      </c>
      <c r="V1073" s="4">
        <v>2.68</v>
      </c>
    </row>
    <row r="1074" spans="1:22" hidden="1" x14ac:dyDescent="0.35">
      <c r="A1074" t="s">
        <v>28</v>
      </c>
      <c r="B1074">
        <v>4</v>
      </c>
      <c r="C1074">
        <v>1</v>
      </c>
      <c r="D1074">
        <v>10</v>
      </c>
      <c r="E1074" t="s">
        <v>22</v>
      </c>
      <c r="F1074">
        <v>50</v>
      </c>
      <c r="G1074">
        <v>1</v>
      </c>
      <c r="H1074">
        <v>20</v>
      </c>
      <c r="I1074" t="s">
        <v>26</v>
      </c>
      <c r="J1074" s="3">
        <v>327.99191300000001</v>
      </c>
      <c r="K1074" s="3">
        <v>22134.281999999999</v>
      </c>
      <c r="L1074" s="3">
        <v>22134.281999999999</v>
      </c>
      <c r="M1074" s="3">
        <v>22134.281999999999</v>
      </c>
      <c r="N1074" s="3">
        <v>22134.281999999999</v>
      </c>
      <c r="O1074" s="4">
        <v>0</v>
      </c>
      <c r="P1074" s="4">
        <v>0</v>
      </c>
      <c r="Q1074" s="4">
        <v>0</v>
      </c>
      <c r="R1074" s="5">
        <v>6.0000000000000001E-3</v>
      </c>
      <c r="S1074">
        <v>1</v>
      </c>
      <c r="T1074" t="b">
        <v>0</v>
      </c>
      <c r="U1074">
        <v>1</v>
      </c>
      <c r="V1074" s="4">
        <v>5.86</v>
      </c>
    </row>
    <row r="1075" spans="1:22" hidden="1" x14ac:dyDescent="0.35">
      <c r="A1075" t="s">
        <v>28</v>
      </c>
      <c r="B1075">
        <v>4</v>
      </c>
      <c r="C1075">
        <v>1</v>
      </c>
      <c r="D1075">
        <v>10</v>
      </c>
      <c r="E1075" t="s">
        <v>22</v>
      </c>
      <c r="F1075">
        <v>50</v>
      </c>
      <c r="G1075">
        <v>3</v>
      </c>
      <c r="H1075">
        <v>20</v>
      </c>
      <c r="I1075" t="s">
        <v>26</v>
      </c>
      <c r="J1075" s="3">
        <v>327.99191300000001</v>
      </c>
      <c r="K1075" s="3">
        <v>22134.281999999999</v>
      </c>
      <c r="L1075" s="3">
        <v>22134.281999999999</v>
      </c>
      <c r="M1075" s="3">
        <v>22134.281999999999</v>
      </c>
      <c r="N1075" s="3">
        <v>22134.281999999999</v>
      </c>
      <c r="O1075" s="4">
        <v>0</v>
      </c>
      <c r="P1075" s="4">
        <v>0</v>
      </c>
      <c r="Q1075" s="4">
        <v>0</v>
      </c>
      <c r="R1075" s="5">
        <v>6.0000000000000001E-3</v>
      </c>
      <c r="S1075">
        <v>1</v>
      </c>
      <c r="T1075" t="b">
        <v>0</v>
      </c>
      <c r="U1075">
        <v>1</v>
      </c>
      <c r="V1075" s="4">
        <v>17</v>
      </c>
    </row>
    <row r="1076" spans="1:22" hidden="1" x14ac:dyDescent="0.35">
      <c r="A1076" t="s">
        <v>28</v>
      </c>
      <c r="B1076">
        <v>4</v>
      </c>
      <c r="C1076">
        <v>1</v>
      </c>
      <c r="D1076">
        <v>10</v>
      </c>
      <c r="E1076" t="s">
        <v>22</v>
      </c>
      <c r="F1076">
        <v>200</v>
      </c>
      <c r="G1076">
        <v>1</v>
      </c>
      <c r="H1076">
        <v>20</v>
      </c>
      <c r="I1076" t="s">
        <v>26</v>
      </c>
      <c r="J1076" s="3">
        <v>327.99191300000001</v>
      </c>
      <c r="K1076" s="3">
        <v>22134.281999999999</v>
      </c>
      <c r="L1076" s="3">
        <v>22134.281999999999</v>
      </c>
      <c r="M1076" s="3">
        <v>22134.281999999999</v>
      </c>
      <c r="N1076" s="3">
        <v>22134.281999999999</v>
      </c>
      <c r="O1076" s="4">
        <v>0</v>
      </c>
      <c r="P1076" s="4">
        <v>0</v>
      </c>
      <c r="Q1076" s="4">
        <v>0</v>
      </c>
      <c r="R1076" s="5">
        <v>6.0000000000000001E-3</v>
      </c>
      <c r="S1076">
        <v>1</v>
      </c>
      <c r="T1076" t="b">
        <v>0</v>
      </c>
      <c r="U1076">
        <v>1</v>
      </c>
      <c r="V1076" s="4">
        <v>5.82</v>
      </c>
    </row>
    <row r="1077" spans="1:22" hidden="1" x14ac:dyDescent="0.35">
      <c r="A1077" t="s">
        <v>28</v>
      </c>
      <c r="B1077">
        <v>4</v>
      </c>
      <c r="C1077">
        <v>1</v>
      </c>
      <c r="D1077">
        <v>10</v>
      </c>
      <c r="E1077" t="s">
        <v>22</v>
      </c>
      <c r="F1077">
        <v>200</v>
      </c>
      <c r="G1077">
        <v>3</v>
      </c>
      <c r="H1077">
        <v>20</v>
      </c>
      <c r="I1077" t="s">
        <v>26</v>
      </c>
      <c r="J1077" s="3">
        <v>327.99191300000001</v>
      </c>
      <c r="K1077" s="3">
        <v>22134.281999999999</v>
      </c>
      <c r="L1077" s="3">
        <v>22134.281999999999</v>
      </c>
      <c r="M1077" s="3">
        <v>22134.281999999999</v>
      </c>
      <c r="N1077" s="3">
        <v>22134.281999999999</v>
      </c>
      <c r="O1077" s="4">
        <v>0</v>
      </c>
      <c r="P1077" s="4">
        <v>0</v>
      </c>
      <c r="Q1077" s="4">
        <v>0</v>
      </c>
      <c r="R1077" s="5">
        <v>6.0000000000000001E-3</v>
      </c>
      <c r="S1077">
        <v>1</v>
      </c>
      <c r="T1077" t="b">
        <v>0</v>
      </c>
      <c r="U1077">
        <v>1</v>
      </c>
      <c r="V1077" s="4">
        <v>17.100000000000001</v>
      </c>
    </row>
    <row r="1078" spans="1:22" hidden="1" x14ac:dyDescent="0.35">
      <c r="A1078" t="s">
        <v>28</v>
      </c>
      <c r="B1078">
        <v>4</v>
      </c>
      <c r="C1078">
        <v>1</v>
      </c>
      <c r="D1078">
        <v>10</v>
      </c>
      <c r="E1078" t="s">
        <v>25</v>
      </c>
      <c r="F1078">
        <v>50</v>
      </c>
      <c r="G1078">
        <v>1</v>
      </c>
      <c r="H1078">
        <v>20</v>
      </c>
      <c r="I1078" t="s">
        <v>26</v>
      </c>
      <c r="J1078" s="3">
        <v>1188.7414180000001</v>
      </c>
      <c r="K1078" s="3" t="s">
        <v>24</v>
      </c>
      <c r="L1078" s="3" t="s">
        <v>24</v>
      </c>
      <c r="M1078" s="3" t="s">
        <v>24</v>
      </c>
      <c r="N1078" s="3">
        <v>22134.281999999999</v>
      </c>
      <c r="O1078" s="4"/>
      <c r="P1078" s="4"/>
      <c r="Q1078" s="4"/>
      <c r="R1078" s="5">
        <v>0</v>
      </c>
      <c r="S1078">
        <v>0</v>
      </c>
      <c r="T1078" t="b">
        <v>1</v>
      </c>
      <c r="U1078">
        <v>-1</v>
      </c>
      <c r="V1078" s="4">
        <v>1.19</v>
      </c>
    </row>
    <row r="1079" spans="1:22" hidden="1" x14ac:dyDescent="0.35">
      <c r="A1079" t="s">
        <v>28</v>
      </c>
      <c r="B1079">
        <v>4</v>
      </c>
      <c r="C1079">
        <v>1</v>
      </c>
      <c r="D1079">
        <v>10</v>
      </c>
      <c r="E1079" t="s">
        <v>25</v>
      </c>
      <c r="F1079">
        <v>50</v>
      </c>
      <c r="G1079">
        <v>3</v>
      </c>
      <c r="H1079">
        <v>20</v>
      </c>
      <c r="I1079" t="s">
        <v>26</v>
      </c>
      <c r="J1079" s="3">
        <v>1031.092611</v>
      </c>
      <c r="K1079" s="3" t="s">
        <v>24</v>
      </c>
      <c r="L1079" s="3" t="s">
        <v>24</v>
      </c>
      <c r="M1079" s="3" t="s">
        <v>24</v>
      </c>
      <c r="N1079" s="3">
        <v>22134.281999999999</v>
      </c>
      <c r="O1079" s="4"/>
      <c r="P1079" s="4"/>
      <c r="Q1079" s="4"/>
      <c r="R1079" s="5">
        <v>0</v>
      </c>
      <c r="S1079">
        <v>0</v>
      </c>
      <c r="T1079" t="b">
        <v>1</v>
      </c>
      <c r="U1079">
        <v>-1</v>
      </c>
      <c r="V1079" s="4">
        <v>2.67</v>
      </c>
    </row>
    <row r="1080" spans="1:22" hidden="1" x14ac:dyDescent="0.35">
      <c r="A1080" t="s">
        <v>28</v>
      </c>
      <c r="B1080">
        <v>4</v>
      </c>
      <c r="C1080">
        <v>1</v>
      </c>
      <c r="D1080">
        <v>10</v>
      </c>
      <c r="E1080" t="s">
        <v>25</v>
      </c>
      <c r="F1080">
        <v>200</v>
      </c>
      <c r="G1080">
        <v>1</v>
      </c>
      <c r="H1080">
        <v>20</v>
      </c>
      <c r="I1080" t="s">
        <v>26</v>
      </c>
      <c r="J1080" s="3">
        <v>1188.7414180000001</v>
      </c>
      <c r="K1080" s="3" t="s">
        <v>24</v>
      </c>
      <c r="L1080" s="3" t="s">
        <v>24</v>
      </c>
      <c r="M1080" s="3" t="s">
        <v>24</v>
      </c>
      <c r="N1080" s="3">
        <v>22134.281999999999</v>
      </c>
      <c r="O1080" s="4"/>
      <c r="P1080" s="4"/>
      <c r="Q1080" s="4"/>
      <c r="R1080" s="5">
        <v>0</v>
      </c>
      <c r="S1080">
        <v>0</v>
      </c>
      <c r="T1080" t="b">
        <v>1</v>
      </c>
      <c r="U1080">
        <v>-1</v>
      </c>
      <c r="V1080" s="4">
        <v>1.1599999999999999</v>
      </c>
    </row>
    <row r="1081" spans="1:22" hidden="1" x14ac:dyDescent="0.35">
      <c r="A1081" t="s">
        <v>28</v>
      </c>
      <c r="B1081">
        <v>4</v>
      </c>
      <c r="C1081">
        <v>1</v>
      </c>
      <c r="D1081">
        <v>10</v>
      </c>
      <c r="E1081" t="s">
        <v>25</v>
      </c>
      <c r="F1081">
        <v>200</v>
      </c>
      <c r="G1081">
        <v>3</v>
      </c>
      <c r="H1081">
        <v>20</v>
      </c>
      <c r="I1081" t="s">
        <v>26</v>
      </c>
      <c r="J1081" s="3">
        <v>1031.092611</v>
      </c>
      <c r="K1081" s="3" t="s">
        <v>24</v>
      </c>
      <c r="L1081" s="3" t="s">
        <v>24</v>
      </c>
      <c r="M1081" s="3" t="s">
        <v>24</v>
      </c>
      <c r="N1081" s="3">
        <v>22134.281999999999</v>
      </c>
      <c r="O1081" s="4"/>
      <c r="P1081" s="4"/>
      <c r="Q1081" s="4"/>
      <c r="R1081" s="5">
        <v>0</v>
      </c>
      <c r="S1081">
        <v>0</v>
      </c>
      <c r="T1081" t="b">
        <v>1</v>
      </c>
      <c r="U1081">
        <v>-1</v>
      </c>
      <c r="V1081" s="4">
        <v>2.7</v>
      </c>
    </row>
    <row r="1082" spans="1:22" hidden="1" x14ac:dyDescent="0.35">
      <c r="A1082" t="s">
        <v>28</v>
      </c>
      <c r="B1082">
        <v>4</v>
      </c>
      <c r="C1082">
        <v>2</v>
      </c>
      <c r="D1082">
        <v>2</v>
      </c>
      <c r="E1082" t="s">
        <v>22</v>
      </c>
      <c r="F1082">
        <v>50</v>
      </c>
      <c r="G1082">
        <v>1</v>
      </c>
      <c r="H1082">
        <v>20</v>
      </c>
      <c r="I1082" t="s">
        <v>26</v>
      </c>
      <c r="J1082" s="3">
        <v>92.865142000000006</v>
      </c>
      <c r="K1082" s="3">
        <v>22134.281999999999</v>
      </c>
      <c r="L1082" s="3">
        <v>22134.281999999999</v>
      </c>
      <c r="M1082" s="3">
        <v>22134.281999999999</v>
      </c>
      <c r="N1082" s="3">
        <v>22134.281999999999</v>
      </c>
      <c r="O1082" s="4">
        <v>0</v>
      </c>
      <c r="P1082" s="4">
        <v>0</v>
      </c>
      <c r="Q1082" s="4">
        <v>0</v>
      </c>
      <c r="R1082" s="5">
        <v>2.0000000000000001E-4</v>
      </c>
      <c r="S1082">
        <v>1</v>
      </c>
      <c r="T1082" t="b">
        <v>0</v>
      </c>
      <c r="U1082">
        <v>1</v>
      </c>
      <c r="V1082" s="4">
        <v>9.3800000000000008</v>
      </c>
    </row>
    <row r="1083" spans="1:22" hidden="1" x14ac:dyDescent="0.35">
      <c r="A1083" t="s">
        <v>28</v>
      </c>
      <c r="B1083">
        <v>4</v>
      </c>
      <c r="C1083">
        <v>2</v>
      </c>
      <c r="D1083">
        <v>2</v>
      </c>
      <c r="E1083" t="s">
        <v>22</v>
      </c>
      <c r="F1083">
        <v>50</v>
      </c>
      <c r="G1083">
        <v>3</v>
      </c>
      <c r="H1083">
        <v>20</v>
      </c>
      <c r="I1083" t="s">
        <v>26</v>
      </c>
      <c r="J1083" s="3">
        <v>70.992243000000002</v>
      </c>
      <c r="K1083" s="3">
        <v>22134.281999999999</v>
      </c>
      <c r="L1083" s="3">
        <v>22134.281999999999</v>
      </c>
      <c r="M1083" s="3">
        <v>22134.281999999999</v>
      </c>
      <c r="N1083" s="3">
        <v>22134.281999999999</v>
      </c>
      <c r="O1083" s="4">
        <v>0</v>
      </c>
      <c r="P1083" s="4">
        <v>0</v>
      </c>
      <c r="Q1083" s="4">
        <v>0</v>
      </c>
      <c r="R1083" s="5">
        <v>1.47E-2</v>
      </c>
      <c r="S1083">
        <v>1</v>
      </c>
      <c r="T1083" t="b">
        <v>0</v>
      </c>
      <c r="U1083">
        <v>1</v>
      </c>
      <c r="V1083" s="4">
        <v>28.5</v>
      </c>
    </row>
    <row r="1084" spans="1:22" hidden="1" x14ac:dyDescent="0.35">
      <c r="A1084" t="s">
        <v>28</v>
      </c>
      <c r="B1084">
        <v>4</v>
      </c>
      <c r="C1084">
        <v>2</v>
      </c>
      <c r="D1084">
        <v>2</v>
      </c>
      <c r="E1084" t="s">
        <v>22</v>
      </c>
      <c r="F1084">
        <v>200</v>
      </c>
      <c r="G1084">
        <v>1</v>
      </c>
      <c r="H1084">
        <v>20</v>
      </c>
      <c r="I1084" t="s">
        <v>26</v>
      </c>
      <c r="J1084" s="3">
        <v>92.865142000000006</v>
      </c>
      <c r="K1084" s="3">
        <v>22134.281999999999</v>
      </c>
      <c r="L1084" s="3">
        <v>22134.281999999999</v>
      </c>
      <c r="M1084" s="3">
        <v>22134.281999999999</v>
      </c>
      <c r="N1084" s="3">
        <v>22134.281999999999</v>
      </c>
      <c r="O1084" s="4">
        <v>0</v>
      </c>
      <c r="P1084" s="4">
        <v>0</v>
      </c>
      <c r="Q1084" s="4">
        <v>0</v>
      </c>
      <c r="R1084" s="5">
        <v>2.0000000000000001E-4</v>
      </c>
      <c r="S1084">
        <v>1</v>
      </c>
      <c r="T1084" t="b">
        <v>0</v>
      </c>
      <c r="U1084">
        <v>1</v>
      </c>
      <c r="V1084" s="4">
        <v>9.3699999999999992</v>
      </c>
    </row>
    <row r="1085" spans="1:22" hidden="1" x14ac:dyDescent="0.35">
      <c r="A1085" t="s">
        <v>28</v>
      </c>
      <c r="B1085">
        <v>4</v>
      </c>
      <c r="C1085">
        <v>2</v>
      </c>
      <c r="D1085">
        <v>2</v>
      </c>
      <c r="E1085" t="s">
        <v>22</v>
      </c>
      <c r="F1085">
        <v>200</v>
      </c>
      <c r="G1085">
        <v>3</v>
      </c>
      <c r="H1085">
        <v>20</v>
      </c>
      <c r="I1085" t="s">
        <v>26</v>
      </c>
      <c r="J1085" s="3">
        <v>70.992243000000002</v>
      </c>
      <c r="K1085" s="3">
        <v>22134.281999999999</v>
      </c>
      <c r="L1085" s="3">
        <v>22134.281999999999</v>
      </c>
      <c r="M1085" s="3">
        <v>22134.281999999999</v>
      </c>
      <c r="N1085" s="3">
        <v>22134.281999999999</v>
      </c>
      <c r="O1085" s="4">
        <v>0</v>
      </c>
      <c r="P1085" s="4">
        <v>0</v>
      </c>
      <c r="Q1085" s="4">
        <v>0</v>
      </c>
      <c r="R1085" s="5">
        <v>1.47E-2</v>
      </c>
      <c r="S1085">
        <v>1</v>
      </c>
      <c r="T1085" t="b">
        <v>0</v>
      </c>
      <c r="U1085">
        <v>1</v>
      </c>
      <c r="V1085" s="4">
        <v>28.79</v>
      </c>
    </row>
    <row r="1086" spans="1:22" hidden="1" x14ac:dyDescent="0.35">
      <c r="A1086" t="s">
        <v>28</v>
      </c>
      <c r="B1086">
        <v>4</v>
      </c>
      <c r="C1086">
        <v>2</v>
      </c>
      <c r="D1086">
        <v>2</v>
      </c>
      <c r="E1086" t="s">
        <v>25</v>
      </c>
      <c r="F1086">
        <v>50</v>
      </c>
      <c r="G1086">
        <v>1</v>
      </c>
      <c r="H1086">
        <v>20</v>
      </c>
      <c r="I1086" t="s">
        <v>26</v>
      </c>
      <c r="J1086" s="3">
        <v>211.536463</v>
      </c>
      <c r="K1086" s="3" t="s">
        <v>24</v>
      </c>
      <c r="L1086" s="3" t="s">
        <v>24</v>
      </c>
      <c r="M1086" s="3" t="s">
        <v>24</v>
      </c>
      <c r="N1086" s="3">
        <v>22134.281999999999</v>
      </c>
      <c r="O1086" s="4"/>
      <c r="P1086" s="4"/>
      <c r="Q1086" s="4"/>
      <c r="R1086" s="5">
        <v>0</v>
      </c>
      <c r="S1086">
        <v>0</v>
      </c>
      <c r="T1086" t="b">
        <v>1</v>
      </c>
      <c r="U1086">
        <v>-1</v>
      </c>
      <c r="V1086" s="4">
        <v>1.91</v>
      </c>
    </row>
    <row r="1087" spans="1:22" hidden="1" x14ac:dyDescent="0.35">
      <c r="A1087" t="s">
        <v>28</v>
      </c>
      <c r="B1087">
        <v>4</v>
      </c>
      <c r="C1087">
        <v>2</v>
      </c>
      <c r="D1087">
        <v>2</v>
      </c>
      <c r="E1087" t="s">
        <v>25</v>
      </c>
      <c r="F1087">
        <v>50</v>
      </c>
      <c r="G1087">
        <v>3</v>
      </c>
      <c r="H1087">
        <v>20</v>
      </c>
      <c r="I1087" t="s">
        <v>26</v>
      </c>
      <c r="J1087" s="3">
        <v>171.16567599999999</v>
      </c>
      <c r="K1087" s="3">
        <v>22134.281999999999</v>
      </c>
      <c r="L1087" s="3">
        <v>22134.281999999999</v>
      </c>
      <c r="M1087" s="3">
        <v>22134.281999999999</v>
      </c>
      <c r="N1087" s="3">
        <v>22134.281999999999</v>
      </c>
      <c r="O1087" s="4">
        <v>0</v>
      </c>
      <c r="P1087" s="4">
        <v>0</v>
      </c>
      <c r="Q1087" s="4">
        <v>0</v>
      </c>
      <c r="R1087" s="5">
        <v>1.9E-3</v>
      </c>
      <c r="S1087">
        <v>1</v>
      </c>
      <c r="T1087" t="b">
        <v>0</v>
      </c>
      <c r="U1087">
        <v>1</v>
      </c>
      <c r="V1087" s="4">
        <v>4.95</v>
      </c>
    </row>
    <row r="1088" spans="1:22" hidden="1" x14ac:dyDescent="0.35">
      <c r="A1088" t="s">
        <v>28</v>
      </c>
      <c r="B1088">
        <v>4</v>
      </c>
      <c r="C1088">
        <v>2</v>
      </c>
      <c r="D1088">
        <v>2</v>
      </c>
      <c r="E1088" t="s">
        <v>25</v>
      </c>
      <c r="F1088">
        <v>200</v>
      </c>
      <c r="G1088">
        <v>1</v>
      </c>
      <c r="H1088">
        <v>20</v>
      </c>
      <c r="I1088" t="s">
        <v>26</v>
      </c>
      <c r="J1088" s="3">
        <v>211.536463</v>
      </c>
      <c r="K1088" s="3" t="s">
        <v>24</v>
      </c>
      <c r="L1088" s="3" t="s">
        <v>24</v>
      </c>
      <c r="M1088" s="3" t="s">
        <v>24</v>
      </c>
      <c r="N1088" s="3">
        <v>22134.281999999999</v>
      </c>
      <c r="O1088" s="4"/>
      <c r="P1088" s="4"/>
      <c r="Q1088" s="4"/>
      <c r="R1088" s="5">
        <v>0</v>
      </c>
      <c r="S1088">
        <v>0</v>
      </c>
      <c r="T1088" t="b">
        <v>1</v>
      </c>
      <c r="U1088">
        <v>-1</v>
      </c>
      <c r="V1088" s="4">
        <v>1.92</v>
      </c>
    </row>
    <row r="1089" spans="1:22" hidden="1" x14ac:dyDescent="0.35">
      <c r="A1089" t="s">
        <v>28</v>
      </c>
      <c r="B1089">
        <v>4</v>
      </c>
      <c r="C1089">
        <v>2</v>
      </c>
      <c r="D1089">
        <v>2</v>
      </c>
      <c r="E1089" t="s">
        <v>25</v>
      </c>
      <c r="F1089">
        <v>200</v>
      </c>
      <c r="G1089">
        <v>3</v>
      </c>
      <c r="H1089">
        <v>20</v>
      </c>
      <c r="I1089" t="s">
        <v>26</v>
      </c>
      <c r="J1089" s="3">
        <v>171.16567599999999</v>
      </c>
      <c r="K1089" s="3">
        <v>22134.281999999999</v>
      </c>
      <c r="L1089" s="3">
        <v>22134.281999999999</v>
      </c>
      <c r="M1089" s="3">
        <v>22134.281999999999</v>
      </c>
      <c r="N1089" s="3">
        <v>22134.281999999999</v>
      </c>
      <c r="O1089" s="4">
        <v>0</v>
      </c>
      <c r="P1089" s="4">
        <v>0</v>
      </c>
      <c r="Q1089" s="4">
        <v>0</v>
      </c>
      <c r="R1089" s="5">
        <v>1.9E-3</v>
      </c>
      <c r="S1089">
        <v>1</v>
      </c>
      <c r="T1089" t="b">
        <v>0</v>
      </c>
      <c r="U1089">
        <v>1</v>
      </c>
      <c r="V1089" s="4">
        <v>4.83</v>
      </c>
    </row>
    <row r="1090" spans="1:22" hidden="1" x14ac:dyDescent="0.35">
      <c r="A1090" t="s">
        <v>28</v>
      </c>
      <c r="B1090">
        <v>4</v>
      </c>
      <c r="C1090">
        <v>2</v>
      </c>
      <c r="D1090">
        <v>5</v>
      </c>
      <c r="E1090" t="s">
        <v>22</v>
      </c>
      <c r="F1090">
        <v>50</v>
      </c>
      <c r="G1090">
        <v>1</v>
      </c>
      <c r="H1090">
        <v>20</v>
      </c>
      <c r="I1090" t="s">
        <v>26</v>
      </c>
      <c r="J1090" s="3">
        <v>191.64835199999999</v>
      </c>
      <c r="K1090" s="3">
        <v>22134.281999999999</v>
      </c>
      <c r="L1090" s="3">
        <v>22134.281999999999</v>
      </c>
      <c r="M1090" s="3">
        <v>22134.281999999999</v>
      </c>
      <c r="N1090" s="3">
        <v>22134.281999999999</v>
      </c>
      <c r="O1090" s="4">
        <v>0</v>
      </c>
      <c r="P1090" s="4">
        <v>0</v>
      </c>
      <c r="Q1090" s="4">
        <v>0</v>
      </c>
      <c r="R1090" s="5">
        <v>1.2999999999999999E-3</v>
      </c>
      <c r="S1090">
        <v>1</v>
      </c>
      <c r="T1090" t="b">
        <v>0</v>
      </c>
      <c r="U1090">
        <v>1</v>
      </c>
      <c r="V1090" s="4">
        <v>9.83</v>
      </c>
    </row>
    <row r="1091" spans="1:22" hidden="1" x14ac:dyDescent="0.35">
      <c r="A1091" t="s">
        <v>28</v>
      </c>
      <c r="B1091">
        <v>4</v>
      </c>
      <c r="C1091">
        <v>2</v>
      </c>
      <c r="D1091">
        <v>5</v>
      </c>
      <c r="E1091" t="s">
        <v>22</v>
      </c>
      <c r="F1091">
        <v>50</v>
      </c>
      <c r="G1091">
        <v>3</v>
      </c>
      <c r="H1091">
        <v>20</v>
      </c>
      <c r="I1091" t="s">
        <v>26</v>
      </c>
      <c r="J1091" s="3">
        <v>164.58183600000001</v>
      </c>
      <c r="K1091" s="3">
        <v>22134.281999999999</v>
      </c>
      <c r="L1091" s="3">
        <v>22134.281999999999</v>
      </c>
      <c r="M1091" s="3">
        <v>22134.281999999999</v>
      </c>
      <c r="N1091" s="3">
        <v>22134.281999999999</v>
      </c>
      <c r="O1091" s="4">
        <v>0</v>
      </c>
      <c r="P1091" s="4">
        <v>0</v>
      </c>
      <c r="Q1091" s="4">
        <v>0</v>
      </c>
      <c r="R1091" s="5">
        <v>5.7000000000000002E-3</v>
      </c>
      <c r="S1091">
        <v>1</v>
      </c>
      <c r="T1091" t="b">
        <v>0</v>
      </c>
      <c r="U1091">
        <v>1</v>
      </c>
      <c r="V1091" s="4">
        <v>30.44</v>
      </c>
    </row>
    <row r="1092" spans="1:22" hidden="1" x14ac:dyDescent="0.35">
      <c r="A1092" t="s">
        <v>28</v>
      </c>
      <c r="B1092">
        <v>4</v>
      </c>
      <c r="C1092">
        <v>2</v>
      </c>
      <c r="D1092">
        <v>5</v>
      </c>
      <c r="E1092" t="s">
        <v>22</v>
      </c>
      <c r="F1092">
        <v>200</v>
      </c>
      <c r="G1092">
        <v>1</v>
      </c>
      <c r="H1092">
        <v>20</v>
      </c>
      <c r="I1092" t="s">
        <v>26</v>
      </c>
      <c r="J1092" s="3">
        <v>191.64835199999999</v>
      </c>
      <c r="K1092" s="3">
        <v>22134.281999999999</v>
      </c>
      <c r="L1092" s="3">
        <v>22134.281999999999</v>
      </c>
      <c r="M1092" s="3">
        <v>22134.281999999999</v>
      </c>
      <c r="N1092" s="3">
        <v>22134.281999999999</v>
      </c>
      <c r="O1092" s="4">
        <v>0</v>
      </c>
      <c r="P1092" s="4">
        <v>0</v>
      </c>
      <c r="Q1092" s="4">
        <v>0</v>
      </c>
      <c r="R1092" s="5">
        <v>1.2999999999999999E-3</v>
      </c>
      <c r="S1092">
        <v>1</v>
      </c>
      <c r="T1092" t="b">
        <v>0</v>
      </c>
      <c r="U1092">
        <v>1</v>
      </c>
      <c r="V1092" s="4">
        <v>9.7899999999999991</v>
      </c>
    </row>
    <row r="1093" spans="1:22" hidden="1" x14ac:dyDescent="0.35">
      <c r="A1093" t="s">
        <v>28</v>
      </c>
      <c r="B1093">
        <v>4</v>
      </c>
      <c r="C1093">
        <v>2</v>
      </c>
      <c r="D1093">
        <v>5</v>
      </c>
      <c r="E1093" t="s">
        <v>22</v>
      </c>
      <c r="F1093">
        <v>200</v>
      </c>
      <c r="G1093">
        <v>3</v>
      </c>
      <c r="H1093">
        <v>20</v>
      </c>
      <c r="I1093" t="s">
        <v>26</v>
      </c>
      <c r="J1093" s="3">
        <v>164.58183600000001</v>
      </c>
      <c r="K1093" s="3">
        <v>22134.281999999999</v>
      </c>
      <c r="L1093" s="3">
        <v>22134.281999999999</v>
      </c>
      <c r="M1093" s="3">
        <v>22134.281999999999</v>
      </c>
      <c r="N1093" s="3">
        <v>22134.281999999999</v>
      </c>
      <c r="O1093" s="4">
        <v>0</v>
      </c>
      <c r="P1093" s="4">
        <v>0</v>
      </c>
      <c r="Q1093" s="4">
        <v>0</v>
      </c>
      <c r="R1093" s="5">
        <v>5.7000000000000002E-3</v>
      </c>
      <c r="S1093">
        <v>1</v>
      </c>
      <c r="T1093" t="b">
        <v>0</v>
      </c>
      <c r="U1093">
        <v>1</v>
      </c>
      <c r="V1093" s="4">
        <v>30.77</v>
      </c>
    </row>
    <row r="1094" spans="1:22" hidden="1" x14ac:dyDescent="0.35">
      <c r="A1094" t="s">
        <v>28</v>
      </c>
      <c r="B1094">
        <v>4</v>
      </c>
      <c r="C1094">
        <v>2</v>
      </c>
      <c r="D1094">
        <v>5</v>
      </c>
      <c r="E1094" t="s">
        <v>25</v>
      </c>
      <c r="F1094">
        <v>50</v>
      </c>
      <c r="G1094">
        <v>1</v>
      </c>
      <c r="H1094">
        <v>20</v>
      </c>
      <c r="I1094" t="s">
        <v>26</v>
      </c>
      <c r="J1094" s="3">
        <v>522.69650100000001</v>
      </c>
      <c r="K1094" s="3" t="s">
        <v>24</v>
      </c>
      <c r="L1094" s="3" t="s">
        <v>24</v>
      </c>
      <c r="M1094" s="3" t="s">
        <v>24</v>
      </c>
      <c r="N1094" s="3">
        <v>22134.281999999999</v>
      </c>
      <c r="O1094" s="4"/>
      <c r="P1094" s="4"/>
      <c r="Q1094" s="4"/>
      <c r="R1094" s="5">
        <v>0</v>
      </c>
      <c r="S1094">
        <v>0</v>
      </c>
      <c r="T1094" t="b">
        <v>1</v>
      </c>
      <c r="U1094">
        <v>-1</v>
      </c>
      <c r="V1094" s="4">
        <v>1.95</v>
      </c>
    </row>
    <row r="1095" spans="1:22" hidden="1" x14ac:dyDescent="0.35">
      <c r="A1095" t="s">
        <v>28</v>
      </c>
      <c r="B1095">
        <v>4</v>
      </c>
      <c r="C1095">
        <v>2</v>
      </c>
      <c r="D1095">
        <v>5</v>
      </c>
      <c r="E1095" t="s">
        <v>25</v>
      </c>
      <c r="F1095">
        <v>50</v>
      </c>
      <c r="G1095">
        <v>3</v>
      </c>
      <c r="H1095">
        <v>20</v>
      </c>
      <c r="I1095" t="s">
        <v>26</v>
      </c>
      <c r="J1095" s="3">
        <v>387.55786000000001</v>
      </c>
      <c r="K1095" s="3">
        <v>22134.281999999999</v>
      </c>
      <c r="L1095" s="3">
        <v>22134.281999999999</v>
      </c>
      <c r="M1095" s="3">
        <v>22134.281999999999</v>
      </c>
      <c r="N1095" s="3">
        <v>22134.281999999999</v>
      </c>
      <c r="O1095" s="4">
        <v>0</v>
      </c>
      <c r="P1095" s="4">
        <v>0</v>
      </c>
      <c r="Q1095" s="4">
        <v>0</v>
      </c>
      <c r="R1095" s="5">
        <v>5.7000000000000002E-3</v>
      </c>
      <c r="S1095">
        <v>1</v>
      </c>
      <c r="T1095" t="b">
        <v>0</v>
      </c>
      <c r="U1095">
        <v>1</v>
      </c>
      <c r="V1095" s="4">
        <v>4.8</v>
      </c>
    </row>
    <row r="1096" spans="1:22" hidden="1" x14ac:dyDescent="0.35">
      <c r="A1096" t="s">
        <v>28</v>
      </c>
      <c r="B1096">
        <v>4</v>
      </c>
      <c r="C1096">
        <v>2</v>
      </c>
      <c r="D1096">
        <v>5</v>
      </c>
      <c r="E1096" t="s">
        <v>25</v>
      </c>
      <c r="F1096">
        <v>200</v>
      </c>
      <c r="G1096">
        <v>1</v>
      </c>
      <c r="H1096">
        <v>20</v>
      </c>
      <c r="I1096" t="s">
        <v>26</v>
      </c>
      <c r="J1096" s="3">
        <v>522.69650100000001</v>
      </c>
      <c r="K1096" s="3" t="s">
        <v>24</v>
      </c>
      <c r="L1096" s="3" t="s">
        <v>24</v>
      </c>
      <c r="M1096" s="3" t="s">
        <v>24</v>
      </c>
      <c r="N1096" s="3">
        <v>22134.281999999999</v>
      </c>
      <c r="O1096" s="4"/>
      <c r="P1096" s="4"/>
      <c r="Q1096" s="4"/>
      <c r="R1096" s="5">
        <v>0</v>
      </c>
      <c r="S1096">
        <v>0</v>
      </c>
      <c r="T1096" t="b">
        <v>1</v>
      </c>
      <c r="U1096">
        <v>-1</v>
      </c>
      <c r="V1096" s="4">
        <v>1.98</v>
      </c>
    </row>
    <row r="1097" spans="1:22" hidden="1" x14ac:dyDescent="0.35">
      <c r="A1097" t="s">
        <v>28</v>
      </c>
      <c r="B1097">
        <v>4</v>
      </c>
      <c r="C1097">
        <v>2</v>
      </c>
      <c r="D1097">
        <v>5</v>
      </c>
      <c r="E1097" t="s">
        <v>25</v>
      </c>
      <c r="F1097">
        <v>200</v>
      </c>
      <c r="G1097">
        <v>3</v>
      </c>
      <c r="H1097">
        <v>20</v>
      </c>
      <c r="I1097" t="s">
        <v>26</v>
      </c>
      <c r="J1097" s="3">
        <v>387.55786000000001</v>
      </c>
      <c r="K1097" s="3">
        <v>22134.281999999999</v>
      </c>
      <c r="L1097" s="3">
        <v>22134.281999999999</v>
      </c>
      <c r="M1097" s="3">
        <v>22134.281999999999</v>
      </c>
      <c r="N1097" s="3">
        <v>22134.281999999999</v>
      </c>
      <c r="O1097" s="4">
        <v>0</v>
      </c>
      <c r="P1097" s="4">
        <v>0</v>
      </c>
      <c r="Q1097" s="4">
        <v>0</v>
      </c>
      <c r="R1097" s="5">
        <v>5.7000000000000002E-3</v>
      </c>
      <c r="S1097">
        <v>1</v>
      </c>
      <c r="T1097" t="b">
        <v>0</v>
      </c>
      <c r="U1097">
        <v>1</v>
      </c>
      <c r="V1097" s="4">
        <v>4.78</v>
      </c>
    </row>
    <row r="1098" spans="1:22" hidden="1" x14ac:dyDescent="0.35">
      <c r="A1098" t="s">
        <v>28</v>
      </c>
      <c r="B1098">
        <v>4</v>
      </c>
      <c r="C1098">
        <v>2</v>
      </c>
      <c r="D1098">
        <v>10</v>
      </c>
      <c r="E1098" t="s">
        <v>22</v>
      </c>
      <c r="F1098">
        <v>50</v>
      </c>
      <c r="G1098">
        <v>1</v>
      </c>
      <c r="H1098">
        <v>20</v>
      </c>
      <c r="I1098" t="s">
        <v>26</v>
      </c>
      <c r="J1098" s="3">
        <v>360.917688</v>
      </c>
      <c r="K1098" s="3">
        <v>22134.281999999999</v>
      </c>
      <c r="L1098" s="3">
        <v>22134.281999999999</v>
      </c>
      <c r="M1098" s="3">
        <v>22134.281999999999</v>
      </c>
      <c r="N1098" s="3">
        <v>22134.281999999999</v>
      </c>
      <c r="O1098" s="4">
        <v>0</v>
      </c>
      <c r="P1098" s="4">
        <v>0</v>
      </c>
      <c r="Q1098" s="4">
        <v>0</v>
      </c>
      <c r="R1098" s="5">
        <v>2.5000000000000001E-3</v>
      </c>
      <c r="S1098">
        <v>1</v>
      </c>
      <c r="T1098" t="b">
        <v>0</v>
      </c>
      <c r="U1098">
        <v>1</v>
      </c>
      <c r="V1098" s="4">
        <v>9.75</v>
      </c>
    </row>
    <row r="1099" spans="1:22" hidden="1" x14ac:dyDescent="0.35">
      <c r="A1099" t="s">
        <v>28</v>
      </c>
      <c r="B1099">
        <v>4</v>
      </c>
      <c r="C1099">
        <v>2</v>
      </c>
      <c r="D1099">
        <v>10</v>
      </c>
      <c r="E1099" t="s">
        <v>22</v>
      </c>
      <c r="F1099">
        <v>50</v>
      </c>
      <c r="G1099">
        <v>3</v>
      </c>
      <c r="H1099">
        <v>20</v>
      </c>
      <c r="I1099" t="s">
        <v>26</v>
      </c>
      <c r="J1099" s="3">
        <v>327.72189600000002</v>
      </c>
      <c r="K1099" s="3">
        <v>22134.281999999999</v>
      </c>
      <c r="L1099" s="3">
        <v>22134.281999999999</v>
      </c>
      <c r="M1099" s="3">
        <v>22134.281999999999</v>
      </c>
      <c r="N1099" s="3">
        <v>22134.281999999999</v>
      </c>
      <c r="O1099" s="4">
        <v>0</v>
      </c>
      <c r="P1099" s="4">
        <v>0</v>
      </c>
      <c r="Q1099" s="4">
        <v>0</v>
      </c>
      <c r="R1099" s="5">
        <v>3.0999999999999999E-3</v>
      </c>
      <c r="S1099">
        <v>1</v>
      </c>
      <c r="T1099" t="b">
        <v>0</v>
      </c>
      <c r="U1099">
        <v>1</v>
      </c>
      <c r="V1099" s="4">
        <v>29.64</v>
      </c>
    </row>
    <row r="1100" spans="1:22" hidden="1" x14ac:dyDescent="0.35">
      <c r="A1100" t="s">
        <v>28</v>
      </c>
      <c r="B1100">
        <v>4</v>
      </c>
      <c r="C1100">
        <v>2</v>
      </c>
      <c r="D1100">
        <v>10</v>
      </c>
      <c r="E1100" t="s">
        <v>22</v>
      </c>
      <c r="F1100">
        <v>200</v>
      </c>
      <c r="G1100">
        <v>1</v>
      </c>
      <c r="H1100">
        <v>20</v>
      </c>
      <c r="I1100" t="s">
        <v>26</v>
      </c>
      <c r="J1100" s="3">
        <v>360.917688</v>
      </c>
      <c r="K1100" s="3">
        <v>22134.281999999999</v>
      </c>
      <c r="L1100" s="3">
        <v>22134.281999999999</v>
      </c>
      <c r="M1100" s="3">
        <v>22134.281999999999</v>
      </c>
      <c r="N1100" s="3">
        <v>22134.281999999999</v>
      </c>
      <c r="O1100" s="4">
        <v>0</v>
      </c>
      <c r="P1100" s="4">
        <v>0</v>
      </c>
      <c r="Q1100" s="4">
        <v>0</v>
      </c>
      <c r="R1100" s="5">
        <v>2.5000000000000001E-3</v>
      </c>
      <c r="S1100">
        <v>1</v>
      </c>
      <c r="T1100" t="b">
        <v>0</v>
      </c>
      <c r="U1100">
        <v>1</v>
      </c>
      <c r="V1100" s="4">
        <v>9.9</v>
      </c>
    </row>
    <row r="1101" spans="1:22" hidden="1" x14ac:dyDescent="0.35">
      <c r="A1101" t="s">
        <v>28</v>
      </c>
      <c r="B1101">
        <v>4</v>
      </c>
      <c r="C1101">
        <v>2</v>
      </c>
      <c r="D1101">
        <v>10</v>
      </c>
      <c r="E1101" t="s">
        <v>22</v>
      </c>
      <c r="F1101">
        <v>200</v>
      </c>
      <c r="G1101">
        <v>3</v>
      </c>
      <c r="H1101">
        <v>20</v>
      </c>
      <c r="I1101" t="s">
        <v>26</v>
      </c>
      <c r="J1101" s="3">
        <v>327.72189600000002</v>
      </c>
      <c r="K1101" s="3">
        <v>22134.281999999999</v>
      </c>
      <c r="L1101" s="3">
        <v>22134.281999999999</v>
      </c>
      <c r="M1101" s="3">
        <v>22134.281999999999</v>
      </c>
      <c r="N1101" s="3">
        <v>22134.281999999999</v>
      </c>
      <c r="O1101" s="4">
        <v>0</v>
      </c>
      <c r="P1101" s="4">
        <v>0</v>
      </c>
      <c r="Q1101" s="4">
        <v>0</v>
      </c>
      <c r="R1101" s="5">
        <v>3.0999999999999999E-3</v>
      </c>
      <c r="S1101">
        <v>1</v>
      </c>
      <c r="T1101" t="b">
        <v>0</v>
      </c>
      <c r="U1101">
        <v>1</v>
      </c>
      <c r="V1101" s="4">
        <v>29.54</v>
      </c>
    </row>
    <row r="1102" spans="1:22" hidden="1" x14ac:dyDescent="0.35">
      <c r="A1102" t="s">
        <v>28</v>
      </c>
      <c r="B1102">
        <v>4</v>
      </c>
      <c r="C1102">
        <v>2</v>
      </c>
      <c r="D1102">
        <v>10</v>
      </c>
      <c r="E1102" t="s">
        <v>25</v>
      </c>
      <c r="F1102">
        <v>50</v>
      </c>
      <c r="G1102">
        <v>1</v>
      </c>
      <c r="H1102">
        <v>20</v>
      </c>
      <c r="I1102" t="s">
        <v>26</v>
      </c>
      <c r="J1102" s="3">
        <v>1045.5903290000001</v>
      </c>
      <c r="K1102" s="3" t="s">
        <v>24</v>
      </c>
      <c r="L1102" s="3" t="s">
        <v>24</v>
      </c>
      <c r="M1102" s="3" t="s">
        <v>24</v>
      </c>
      <c r="N1102" s="3">
        <v>22134.281999999999</v>
      </c>
      <c r="O1102" s="4"/>
      <c r="P1102" s="4"/>
      <c r="Q1102" s="4"/>
      <c r="R1102" s="5">
        <v>0</v>
      </c>
      <c r="S1102">
        <v>0</v>
      </c>
      <c r="T1102" t="b">
        <v>1</v>
      </c>
      <c r="U1102">
        <v>-1</v>
      </c>
      <c r="V1102" s="4">
        <v>1.94</v>
      </c>
    </row>
    <row r="1103" spans="1:22" hidden="1" x14ac:dyDescent="0.35">
      <c r="A1103" t="s">
        <v>28</v>
      </c>
      <c r="B1103">
        <v>4</v>
      </c>
      <c r="C1103">
        <v>2</v>
      </c>
      <c r="D1103">
        <v>10</v>
      </c>
      <c r="E1103" t="s">
        <v>25</v>
      </c>
      <c r="F1103">
        <v>50</v>
      </c>
      <c r="G1103">
        <v>3</v>
      </c>
      <c r="H1103">
        <v>20</v>
      </c>
      <c r="I1103" t="s">
        <v>26</v>
      </c>
      <c r="J1103" s="3">
        <v>750.46539199999995</v>
      </c>
      <c r="K1103" s="3">
        <v>22134.281999999999</v>
      </c>
      <c r="L1103" s="3">
        <v>22134.281999999999</v>
      </c>
      <c r="M1103" s="3">
        <v>22134.281999999999</v>
      </c>
      <c r="N1103" s="3">
        <v>22134.281999999999</v>
      </c>
      <c r="O1103" s="4">
        <v>0</v>
      </c>
      <c r="P1103" s="4">
        <v>0</v>
      </c>
      <c r="Q1103" s="4">
        <v>0</v>
      </c>
      <c r="R1103" s="5">
        <v>7.1999999999999998E-3</v>
      </c>
      <c r="S1103">
        <v>1</v>
      </c>
      <c r="T1103" t="b">
        <v>0</v>
      </c>
      <c r="U1103">
        <v>1</v>
      </c>
      <c r="V1103" s="4">
        <v>4.9400000000000004</v>
      </c>
    </row>
    <row r="1104" spans="1:22" hidden="1" x14ac:dyDescent="0.35">
      <c r="A1104" t="s">
        <v>28</v>
      </c>
      <c r="B1104">
        <v>4</v>
      </c>
      <c r="C1104">
        <v>2</v>
      </c>
      <c r="D1104">
        <v>10</v>
      </c>
      <c r="E1104" t="s">
        <v>25</v>
      </c>
      <c r="F1104">
        <v>200</v>
      </c>
      <c r="G1104">
        <v>1</v>
      </c>
      <c r="H1104">
        <v>20</v>
      </c>
      <c r="I1104" t="s">
        <v>26</v>
      </c>
      <c r="J1104" s="3">
        <v>1045.5903290000001</v>
      </c>
      <c r="K1104" s="3" t="s">
        <v>24</v>
      </c>
      <c r="L1104" s="3" t="s">
        <v>24</v>
      </c>
      <c r="M1104" s="3" t="s">
        <v>24</v>
      </c>
      <c r="N1104" s="3">
        <v>22134.281999999999</v>
      </c>
      <c r="O1104" s="4"/>
      <c r="P1104" s="4"/>
      <c r="Q1104" s="4"/>
      <c r="R1104" s="5">
        <v>0</v>
      </c>
      <c r="S1104">
        <v>0</v>
      </c>
      <c r="T1104" t="b">
        <v>1</v>
      </c>
      <c r="U1104">
        <v>-1</v>
      </c>
      <c r="V1104" s="4">
        <v>1.91</v>
      </c>
    </row>
    <row r="1105" spans="1:22" hidden="1" x14ac:dyDescent="0.35">
      <c r="A1105" t="s">
        <v>28</v>
      </c>
      <c r="B1105">
        <v>4</v>
      </c>
      <c r="C1105">
        <v>2</v>
      </c>
      <c r="D1105">
        <v>10</v>
      </c>
      <c r="E1105" t="s">
        <v>25</v>
      </c>
      <c r="F1105">
        <v>200</v>
      </c>
      <c r="G1105">
        <v>3</v>
      </c>
      <c r="H1105">
        <v>20</v>
      </c>
      <c r="I1105" t="s">
        <v>26</v>
      </c>
      <c r="J1105" s="3">
        <v>750.46539199999995</v>
      </c>
      <c r="K1105" s="3">
        <v>22134.281999999999</v>
      </c>
      <c r="L1105" s="3">
        <v>22134.281999999999</v>
      </c>
      <c r="M1105" s="3">
        <v>22134.281999999999</v>
      </c>
      <c r="N1105" s="3">
        <v>22134.281999999999</v>
      </c>
      <c r="O1105" s="4">
        <v>0</v>
      </c>
      <c r="P1105" s="4">
        <v>0</v>
      </c>
      <c r="Q1105" s="4">
        <v>0</v>
      </c>
      <c r="R1105" s="5">
        <v>7.1999999999999998E-3</v>
      </c>
      <c r="S1105">
        <v>1</v>
      </c>
      <c r="T1105" t="b">
        <v>0</v>
      </c>
      <c r="U1105">
        <v>1</v>
      </c>
      <c r="V1105" s="4">
        <v>4.79</v>
      </c>
    </row>
    <row r="1106" spans="1:22" hidden="1" x14ac:dyDescent="0.35">
      <c r="A1106" t="s">
        <v>28</v>
      </c>
      <c r="B1106">
        <v>4</v>
      </c>
      <c r="C1106">
        <v>3</v>
      </c>
      <c r="D1106">
        <v>2</v>
      </c>
      <c r="E1106" t="s">
        <v>22</v>
      </c>
      <c r="F1106">
        <v>50</v>
      </c>
      <c r="G1106">
        <v>1</v>
      </c>
      <c r="H1106">
        <v>20</v>
      </c>
      <c r="I1106" t="s">
        <v>26</v>
      </c>
      <c r="J1106" s="3">
        <v>212.59718799999999</v>
      </c>
      <c r="K1106" s="3" t="s">
        <v>24</v>
      </c>
      <c r="L1106" s="3" t="s">
        <v>24</v>
      </c>
      <c r="M1106" s="3" t="s">
        <v>24</v>
      </c>
      <c r="N1106" s="3">
        <v>22134.281999999999</v>
      </c>
      <c r="O1106" s="4"/>
      <c r="P1106" s="4"/>
      <c r="Q1106" s="4"/>
      <c r="R1106" s="5">
        <v>0</v>
      </c>
      <c r="S1106">
        <v>0</v>
      </c>
      <c r="T1106" t="b">
        <v>1</v>
      </c>
      <c r="U1106">
        <v>-1</v>
      </c>
      <c r="V1106" s="4">
        <v>14.85</v>
      </c>
    </row>
    <row r="1107" spans="1:22" hidden="1" x14ac:dyDescent="0.35">
      <c r="A1107" t="s">
        <v>28</v>
      </c>
      <c r="B1107">
        <v>4</v>
      </c>
      <c r="C1107">
        <v>3</v>
      </c>
      <c r="D1107">
        <v>2</v>
      </c>
      <c r="E1107" t="s">
        <v>22</v>
      </c>
      <c r="F1107">
        <v>50</v>
      </c>
      <c r="G1107">
        <v>3</v>
      </c>
      <c r="H1107">
        <v>20</v>
      </c>
      <c r="I1107" t="s">
        <v>26</v>
      </c>
      <c r="J1107" s="3">
        <v>68.010077999999993</v>
      </c>
      <c r="K1107" s="3">
        <v>22134.281999999999</v>
      </c>
      <c r="L1107" s="3">
        <v>22134.281999999999</v>
      </c>
      <c r="M1107" s="3">
        <v>22134.281999999999</v>
      </c>
      <c r="N1107" s="3">
        <v>22134.281999999999</v>
      </c>
      <c r="O1107" s="4">
        <v>0</v>
      </c>
      <c r="P1107" s="4">
        <v>0</v>
      </c>
      <c r="Q1107" s="4">
        <v>0</v>
      </c>
      <c r="R1107" s="5">
        <v>1.9599999999999999E-2</v>
      </c>
      <c r="S1107">
        <v>1</v>
      </c>
      <c r="T1107" t="b">
        <v>0</v>
      </c>
      <c r="U1107">
        <v>1</v>
      </c>
      <c r="V1107" s="4">
        <v>44.22</v>
      </c>
    </row>
    <row r="1108" spans="1:22" hidden="1" x14ac:dyDescent="0.35">
      <c r="A1108" t="s">
        <v>28</v>
      </c>
      <c r="B1108">
        <v>4</v>
      </c>
      <c r="C1108">
        <v>3</v>
      </c>
      <c r="D1108">
        <v>2</v>
      </c>
      <c r="E1108" t="s">
        <v>22</v>
      </c>
      <c r="F1108">
        <v>200</v>
      </c>
      <c r="G1108">
        <v>1</v>
      </c>
      <c r="H1108">
        <v>20</v>
      </c>
      <c r="I1108" t="s">
        <v>26</v>
      </c>
      <c r="J1108" s="3">
        <v>212.59718799999999</v>
      </c>
      <c r="K1108" s="3" t="s">
        <v>24</v>
      </c>
      <c r="L1108" s="3" t="s">
        <v>24</v>
      </c>
      <c r="M1108" s="3" t="s">
        <v>24</v>
      </c>
      <c r="N1108" s="3">
        <v>22134.281999999999</v>
      </c>
      <c r="O1108" s="4"/>
      <c r="P1108" s="4"/>
      <c r="Q1108" s="4"/>
      <c r="R1108" s="5">
        <v>0</v>
      </c>
      <c r="S1108">
        <v>0</v>
      </c>
      <c r="T1108" t="b">
        <v>1</v>
      </c>
      <c r="U1108">
        <v>-1</v>
      </c>
      <c r="V1108" s="4">
        <v>15.18</v>
      </c>
    </row>
    <row r="1109" spans="1:22" hidden="1" x14ac:dyDescent="0.35">
      <c r="A1109" t="s">
        <v>28</v>
      </c>
      <c r="B1109">
        <v>4</v>
      </c>
      <c r="C1109">
        <v>3</v>
      </c>
      <c r="D1109">
        <v>2</v>
      </c>
      <c r="E1109" t="s">
        <v>22</v>
      </c>
      <c r="F1109">
        <v>200</v>
      </c>
      <c r="G1109">
        <v>3</v>
      </c>
      <c r="H1109">
        <v>20</v>
      </c>
      <c r="I1109" t="s">
        <v>26</v>
      </c>
      <c r="J1109" s="3">
        <v>68.010077999999993</v>
      </c>
      <c r="K1109" s="3">
        <v>22134.281999999999</v>
      </c>
      <c r="L1109" s="3">
        <v>22134.281999999999</v>
      </c>
      <c r="M1109" s="3">
        <v>22134.281999999999</v>
      </c>
      <c r="N1109" s="3">
        <v>22134.281999999999</v>
      </c>
      <c r="O1109" s="4">
        <v>0</v>
      </c>
      <c r="P1109" s="4">
        <v>0</v>
      </c>
      <c r="Q1109" s="4">
        <v>0</v>
      </c>
      <c r="R1109" s="5">
        <v>1.9599999999999999E-2</v>
      </c>
      <c r="S1109">
        <v>1</v>
      </c>
      <c r="T1109" t="b">
        <v>0</v>
      </c>
      <c r="U1109">
        <v>1</v>
      </c>
      <c r="V1109" s="4">
        <v>57.28</v>
      </c>
    </row>
    <row r="1110" spans="1:22" hidden="1" x14ac:dyDescent="0.35">
      <c r="A1110" t="s">
        <v>28</v>
      </c>
      <c r="B1110">
        <v>4</v>
      </c>
      <c r="C1110">
        <v>3</v>
      </c>
      <c r="D1110">
        <v>2</v>
      </c>
      <c r="E1110" t="s">
        <v>25</v>
      </c>
      <c r="F1110">
        <v>50</v>
      </c>
      <c r="G1110">
        <v>1</v>
      </c>
      <c r="H1110">
        <v>20</v>
      </c>
      <c r="I1110" t="s">
        <v>26</v>
      </c>
      <c r="J1110" s="3">
        <v>216.87373400000001</v>
      </c>
      <c r="K1110" s="3" t="s">
        <v>24</v>
      </c>
      <c r="L1110" s="3" t="s">
        <v>24</v>
      </c>
      <c r="M1110" s="3" t="s">
        <v>24</v>
      </c>
      <c r="N1110" s="3">
        <v>22134.281999999999</v>
      </c>
      <c r="O1110" s="4"/>
      <c r="P1110" s="4"/>
      <c r="Q1110" s="4"/>
      <c r="R1110" s="5">
        <v>0</v>
      </c>
      <c r="S1110">
        <v>0</v>
      </c>
      <c r="T1110" t="b">
        <v>1</v>
      </c>
      <c r="U1110">
        <v>-1</v>
      </c>
      <c r="V1110" s="4">
        <v>2.93</v>
      </c>
    </row>
    <row r="1111" spans="1:22" hidden="1" x14ac:dyDescent="0.35">
      <c r="A1111" t="s">
        <v>28</v>
      </c>
      <c r="B1111">
        <v>4</v>
      </c>
      <c r="C1111">
        <v>3</v>
      </c>
      <c r="D1111">
        <v>2</v>
      </c>
      <c r="E1111" t="s">
        <v>25</v>
      </c>
      <c r="F1111">
        <v>50</v>
      </c>
      <c r="G1111">
        <v>3</v>
      </c>
      <c r="H1111">
        <v>20</v>
      </c>
      <c r="I1111" t="s">
        <v>26</v>
      </c>
      <c r="J1111" s="3">
        <v>203.95103</v>
      </c>
      <c r="K1111" s="3">
        <v>22134.281999999999</v>
      </c>
      <c r="L1111" s="3">
        <v>22134.281999999999</v>
      </c>
      <c r="M1111" s="3">
        <v>22134.281999999999</v>
      </c>
      <c r="N1111" s="3">
        <v>22134.281999999999</v>
      </c>
      <c r="O1111" s="4">
        <v>0</v>
      </c>
      <c r="P1111" s="4">
        <v>0</v>
      </c>
      <c r="Q1111" s="4">
        <v>0</v>
      </c>
      <c r="R1111" s="5">
        <v>3.0999999999999999E-3</v>
      </c>
      <c r="S1111">
        <v>1</v>
      </c>
      <c r="T1111" t="b">
        <v>0</v>
      </c>
      <c r="U1111">
        <v>1</v>
      </c>
      <c r="V1111" s="4">
        <v>7.86</v>
      </c>
    </row>
    <row r="1112" spans="1:22" hidden="1" x14ac:dyDescent="0.35">
      <c r="A1112" t="s">
        <v>28</v>
      </c>
      <c r="B1112">
        <v>4</v>
      </c>
      <c r="C1112">
        <v>3</v>
      </c>
      <c r="D1112">
        <v>2</v>
      </c>
      <c r="E1112" t="s">
        <v>25</v>
      </c>
      <c r="F1112">
        <v>200</v>
      </c>
      <c r="G1112">
        <v>1</v>
      </c>
      <c r="H1112">
        <v>20</v>
      </c>
      <c r="I1112" t="s">
        <v>26</v>
      </c>
      <c r="J1112" s="3">
        <v>216.87373400000001</v>
      </c>
      <c r="K1112" s="3" t="s">
        <v>24</v>
      </c>
      <c r="L1112" s="3" t="s">
        <v>24</v>
      </c>
      <c r="M1112" s="3" t="s">
        <v>24</v>
      </c>
      <c r="N1112" s="3">
        <v>22134.281999999999</v>
      </c>
      <c r="O1112" s="4"/>
      <c r="P1112" s="4"/>
      <c r="Q1112" s="4"/>
      <c r="R1112" s="5">
        <v>0</v>
      </c>
      <c r="S1112">
        <v>0</v>
      </c>
      <c r="T1112" t="b">
        <v>1</v>
      </c>
      <c r="U1112">
        <v>-1</v>
      </c>
      <c r="V1112" s="4">
        <v>3.1</v>
      </c>
    </row>
    <row r="1113" spans="1:22" hidden="1" x14ac:dyDescent="0.35">
      <c r="A1113" t="s">
        <v>28</v>
      </c>
      <c r="B1113">
        <v>4</v>
      </c>
      <c r="C1113">
        <v>3</v>
      </c>
      <c r="D1113">
        <v>2</v>
      </c>
      <c r="E1113" t="s">
        <v>25</v>
      </c>
      <c r="F1113">
        <v>200</v>
      </c>
      <c r="G1113">
        <v>3</v>
      </c>
      <c r="H1113">
        <v>20</v>
      </c>
      <c r="I1113" t="s">
        <v>26</v>
      </c>
      <c r="J1113" s="3">
        <v>203.95103</v>
      </c>
      <c r="K1113" s="3">
        <v>22134.281999999999</v>
      </c>
      <c r="L1113" s="3">
        <v>22134.281999999999</v>
      </c>
      <c r="M1113" s="3">
        <v>22134.281999999999</v>
      </c>
      <c r="N1113" s="3">
        <v>22134.281999999999</v>
      </c>
      <c r="O1113" s="4">
        <v>0</v>
      </c>
      <c r="P1113" s="4">
        <v>0</v>
      </c>
      <c r="Q1113" s="4">
        <v>0</v>
      </c>
      <c r="R1113" s="5">
        <v>3.0999999999999999E-3</v>
      </c>
      <c r="S1113">
        <v>1</v>
      </c>
      <c r="T1113" t="b">
        <v>0</v>
      </c>
      <c r="U1113">
        <v>1</v>
      </c>
      <c r="V1113" s="4">
        <v>7.74</v>
      </c>
    </row>
    <row r="1114" spans="1:22" hidden="1" x14ac:dyDescent="0.35">
      <c r="A1114" t="s">
        <v>28</v>
      </c>
      <c r="B1114">
        <v>4</v>
      </c>
      <c r="C1114">
        <v>3</v>
      </c>
      <c r="D1114">
        <v>5</v>
      </c>
      <c r="E1114" t="s">
        <v>22</v>
      </c>
      <c r="F1114">
        <v>50</v>
      </c>
      <c r="G1114">
        <v>1</v>
      </c>
      <c r="H1114">
        <v>20</v>
      </c>
      <c r="I1114" t="s">
        <v>26</v>
      </c>
      <c r="J1114" s="3">
        <v>515.44674999999995</v>
      </c>
      <c r="K1114" s="3" t="s">
        <v>24</v>
      </c>
      <c r="L1114" s="3" t="s">
        <v>24</v>
      </c>
      <c r="M1114" s="3" t="s">
        <v>24</v>
      </c>
      <c r="N1114" s="3">
        <v>22134.281999999999</v>
      </c>
      <c r="O1114" s="4"/>
      <c r="P1114" s="4"/>
      <c r="Q1114" s="4"/>
      <c r="R1114" s="5">
        <v>0</v>
      </c>
      <c r="S1114">
        <v>0</v>
      </c>
      <c r="T1114" t="b">
        <v>1</v>
      </c>
      <c r="U1114">
        <v>-1</v>
      </c>
      <c r="V1114" s="4">
        <v>15.65</v>
      </c>
    </row>
    <row r="1115" spans="1:22" hidden="1" x14ac:dyDescent="0.35">
      <c r="A1115" t="s">
        <v>28</v>
      </c>
      <c r="B1115">
        <v>4</v>
      </c>
      <c r="C1115">
        <v>3</v>
      </c>
      <c r="D1115">
        <v>5</v>
      </c>
      <c r="E1115" t="s">
        <v>22</v>
      </c>
      <c r="F1115">
        <v>50</v>
      </c>
      <c r="G1115">
        <v>3</v>
      </c>
      <c r="H1115">
        <v>20</v>
      </c>
      <c r="I1115" t="s">
        <v>26</v>
      </c>
      <c r="J1115" s="3">
        <v>506.941844</v>
      </c>
      <c r="K1115" s="3">
        <v>22134.281999999999</v>
      </c>
      <c r="L1115" s="3">
        <v>22134.281999999999</v>
      </c>
      <c r="M1115" s="3">
        <v>22134.281999999999</v>
      </c>
      <c r="N1115" s="3">
        <v>22134.281999999999</v>
      </c>
      <c r="O1115" s="4">
        <v>0</v>
      </c>
      <c r="P1115" s="4">
        <v>0</v>
      </c>
      <c r="Q1115" s="4">
        <v>0</v>
      </c>
      <c r="R1115" s="5">
        <v>1.6999999999999999E-3</v>
      </c>
      <c r="S1115">
        <v>1</v>
      </c>
      <c r="T1115" t="b">
        <v>0</v>
      </c>
      <c r="U1115">
        <v>1</v>
      </c>
      <c r="V1115" s="4">
        <v>45.26</v>
      </c>
    </row>
    <row r="1116" spans="1:22" hidden="1" x14ac:dyDescent="0.35">
      <c r="A1116" t="s">
        <v>28</v>
      </c>
      <c r="B1116">
        <v>4</v>
      </c>
      <c r="C1116">
        <v>3</v>
      </c>
      <c r="D1116">
        <v>5</v>
      </c>
      <c r="E1116" t="s">
        <v>22</v>
      </c>
      <c r="F1116">
        <v>200</v>
      </c>
      <c r="G1116">
        <v>1</v>
      </c>
      <c r="H1116">
        <v>20</v>
      </c>
      <c r="I1116" t="s">
        <v>26</v>
      </c>
      <c r="J1116" s="3">
        <v>515.44674999999995</v>
      </c>
      <c r="K1116" s="3" t="s">
        <v>24</v>
      </c>
      <c r="L1116" s="3" t="s">
        <v>24</v>
      </c>
      <c r="M1116" s="3" t="s">
        <v>24</v>
      </c>
      <c r="N1116" s="3">
        <v>22134.281999999999</v>
      </c>
      <c r="O1116" s="4"/>
      <c r="P1116" s="4"/>
      <c r="Q1116" s="4"/>
      <c r="R1116" s="5">
        <v>0</v>
      </c>
      <c r="S1116">
        <v>0</v>
      </c>
      <c r="T1116" t="b">
        <v>1</v>
      </c>
      <c r="U1116">
        <v>-1</v>
      </c>
      <c r="V1116" s="4">
        <v>16.739999999999998</v>
      </c>
    </row>
    <row r="1117" spans="1:22" hidden="1" x14ac:dyDescent="0.35">
      <c r="A1117" t="s">
        <v>28</v>
      </c>
      <c r="B1117">
        <v>4</v>
      </c>
      <c r="C1117">
        <v>3</v>
      </c>
      <c r="D1117">
        <v>5</v>
      </c>
      <c r="E1117" t="s">
        <v>22</v>
      </c>
      <c r="F1117">
        <v>200</v>
      </c>
      <c r="G1117">
        <v>3</v>
      </c>
      <c r="H1117">
        <v>20</v>
      </c>
      <c r="I1117" t="s">
        <v>26</v>
      </c>
      <c r="J1117" s="3">
        <v>505.53538700000001</v>
      </c>
      <c r="K1117" s="3">
        <v>22134.281999999999</v>
      </c>
      <c r="L1117" s="3">
        <v>22134.281999999999</v>
      </c>
      <c r="M1117" s="3">
        <v>22134.281999999999</v>
      </c>
      <c r="N1117" s="3">
        <v>22134.281999999999</v>
      </c>
      <c r="O1117" s="4">
        <v>0</v>
      </c>
      <c r="P1117" s="4">
        <v>0</v>
      </c>
      <c r="Q1117" s="4">
        <v>0</v>
      </c>
      <c r="R1117" s="5">
        <v>1.6999999999999999E-3</v>
      </c>
      <c r="S1117">
        <v>1</v>
      </c>
      <c r="T1117" t="b">
        <v>0</v>
      </c>
      <c r="U1117">
        <v>1</v>
      </c>
      <c r="V1117" s="4">
        <v>47.41</v>
      </c>
    </row>
    <row r="1118" spans="1:22" hidden="1" x14ac:dyDescent="0.35">
      <c r="A1118" t="s">
        <v>28</v>
      </c>
      <c r="B1118">
        <v>4</v>
      </c>
      <c r="C1118">
        <v>3</v>
      </c>
      <c r="D1118">
        <v>5</v>
      </c>
      <c r="E1118" t="s">
        <v>25</v>
      </c>
      <c r="F1118">
        <v>50</v>
      </c>
      <c r="G1118">
        <v>1</v>
      </c>
      <c r="H1118">
        <v>20</v>
      </c>
      <c r="I1118" t="s">
        <v>26</v>
      </c>
      <c r="J1118" s="3">
        <v>534.14524700000004</v>
      </c>
      <c r="K1118" s="3" t="s">
        <v>24</v>
      </c>
      <c r="L1118" s="3" t="s">
        <v>24</v>
      </c>
      <c r="M1118" s="3" t="s">
        <v>24</v>
      </c>
      <c r="N1118" s="3">
        <v>22134.281999999999</v>
      </c>
      <c r="O1118" s="4"/>
      <c r="P1118" s="4"/>
      <c r="Q1118" s="4"/>
      <c r="R1118" s="5">
        <v>0</v>
      </c>
      <c r="S1118">
        <v>0</v>
      </c>
      <c r="T1118" t="b">
        <v>1</v>
      </c>
      <c r="U1118">
        <v>-1</v>
      </c>
      <c r="V1118" s="4">
        <v>2.89</v>
      </c>
    </row>
    <row r="1119" spans="1:22" hidden="1" x14ac:dyDescent="0.35">
      <c r="A1119" t="s">
        <v>28</v>
      </c>
      <c r="B1119">
        <v>4</v>
      </c>
      <c r="C1119">
        <v>3</v>
      </c>
      <c r="D1119">
        <v>5</v>
      </c>
      <c r="E1119" t="s">
        <v>25</v>
      </c>
      <c r="F1119">
        <v>50</v>
      </c>
      <c r="G1119">
        <v>3</v>
      </c>
      <c r="H1119">
        <v>20</v>
      </c>
      <c r="I1119" t="s">
        <v>26</v>
      </c>
      <c r="J1119" s="3">
        <v>512.88397299999997</v>
      </c>
      <c r="K1119" s="3">
        <v>22134.281999999999</v>
      </c>
      <c r="L1119" s="3">
        <v>22134.281999999999</v>
      </c>
      <c r="M1119" s="3">
        <v>22134.281999999999</v>
      </c>
      <c r="N1119" s="3">
        <v>22134.281999999999</v>
      </c>
      <c r="O1119" s="4">
        <v>0</v>
      </c>
      <c r="P1119" s="4">
        <v>0</v>
      </c>
      <c r="Q1119" s="4">
        <v>0</v>
      </c>
      <c r="R1119" s="5">
        <v>2.3E-3</v>
      </c>
      <c r="S1119">
        <v>1</v>
      </c>
      <c r="T1119" t="b">
        <v>0</v>
      </c>
      <c r="U1119">
        <v>1</v>
      </c>
      <c r="V1119" s="4">
        <v>7.83</v>
      </c>
    </row>
    <row r="1120" spans="1:22" hidden="1" x14ac:dyDescent="0.35">
      <c r="A1120" t="s">
        <v>28</v>
      </c>
      <c r="B1120">
        <v>4</v>
      </c>
      <c r="C1120">
        <v>3</v>
      </c>
      <c r="D1120">
        <v>5</v>
      </c>
      <c r="E1120" t="s">
        <v>25</v>
      </c>
      <c r="F1120">
        <v>200</v>
      </c>
      <c r="G1120">
        <v>1</v>
      </c>
      <c r="H1120">
        <v>20</v>
      </c>
      <c r="I1120" t="s">
        <v>26</v>
      </c>
      <c r="J1120" s="3">
        <v>534.14524700000004</v>
      </c>
      <c r="K1120" s="3" t="s">
        <v>24</v>
      </c>
      <c r="L1120" s="3" t="s">
        <v>24</v>
      </c>
      <c r="M1120" s="3" t="s">
        <v>24</v>
      </c>
      <c r="N1120" s="3">
        <v>22134.281999999999</v>
      </c>
      <c r="O1120" s="4"/>
      <c r="P1120" s="4"/>
      <c r="Q1120" s="4"/>
      <c r="R1120" s="5">
        <v>0</v>
      </c>
      <c r="S1120">
        <v>0</v>
      </c>
      <c r="T1120" t="b">
        <v>1</v>
      </c>
      <c r="U1120">
        <v>-1</v>
      </c>
      <c r="V1120" s="4">
        <v>2.92</v>
      </c>
    </row>
    <row r="1121" spans="1:22" hidden="1" x14ac:dyDescent="0.35">
      <c r="A1121" t="s">
        <v>28</v>
      </c>
      <c r="B1121">
        <v>4</v>
      </c>
      <c r="C1121">
        <v>3</v>
      </c>
      <c r="D1121">
        <v>5</v>
      </c>
      <c r="E1121" t="s">
        <v>25</v>
      </c>
      <c r="F1121">
        <v>200</v>
      </c>
      <c r="G1121">
        <v>3</v>
      </c>
      <c r="H1121">
        <v>20</v>
      </c>
      <c r="I1121" t="s">
        <v>26</v>
      </c>
      <c r="J1121" s="3">
        <v>512.88397299999997</v>
      </c>
      <c r="K1121" s="3">
        <v>22134.281999999999</v>
      </c>
      <c r="L1121" s="3">
        <v>22134.281999999999</v>
      </c>
      <c r="M1121" s="3">
        <v>22134.281999999999</v>
      </c>
      <c r="N1121" s="3">
        <v>22134.281999999999</v>
      </c>
      <c r="O1121" s="4">
        <v>0</v>
      </c>
      <c r="P1121" s="4">
        <v>0</v>
      </c>
      <c r="Q1121" s="4">
        <v>0</v>
      </c>
      <c r="R1121" s="5">
        <v>2.3E-3</v>
      </c>
      <c r="S1121">
        <v>1</v>
      </c>
      <c r="T1121" t="b">
        <v>0</v>
      </c>
      <c r="U1121">
        <v>1</v>
      </c>
      <c r="V1121" s="4">
        <v>7.63</v>
      </c>
    </row>
    <row r="1122" spans="1:22" hidden="1" x14ac:dyDescent="0.35">
      <c r="A1122" t="s">
        <v>28</v>
      </c>
      <c r="B1122">
        <v>4</v>
      </c>
      <c r="C1122">
        <v>3</v>
      </c>
      <c r="D1122">
        <v>10</v>
      </c>
      <c r="E1122" t="s">
        <v>22</v>
      </c>
      <c r="F1122">
        <v>50</v>
      </c>
      <c r="G1122">
        <v>1</v>
      </c>
      <c r="H1122">
        <v>20</v>
      </c>
      <c r="I1122" t="s">
        <v>26</v>
      </c>
      <c r="J1122" s="3">
        <v>988.04439400000001</v>
      </c>
      <c r="K1122" s="3">
        <v>22134.281999999999</v>
      </c>
      <c r="L1122" s="3">
        <v>22134.281999999999</v>
      </c>
      <c r="M1122" s="3">
        <v>22134.281999999999</v>
      </c>
      <c r="N1122" s="3">
        <v>22134.281999999999</v>
      </c>
      <c r="O1122" s="4">
        <v>0</v>
      </c>
      <c r="P1122" s="4">
        <v>0</v>
      </c>
      <c r="Q1122" s="4">
        <v>0</v>
      </c>
      <c r="R1122" s="5">
        <v>1.6999999999999999E-3</v>
      </c>
      <c r="S1122">
        <v>1</v>
      </c>
      <c r="T1122" t="b">
        <v>0</v>
      </c>
      <c r="U1122">
        <v>1</v>
      </c>
      <c r="V1122" s="4">
        <v>15.48</v>
      </c>
    </row>
    <row r="1123" spans="1:22" hidden="1" x14ac:dyDescent="0.35">
      <c r="A1123" t="s">
        <v>28</v>
      </c>
      <c r="B1123">
        <v>4</v>
      </c>
      <c r="C1123">
        <v>3</v>
      </c>
      <c r="D1123">
        <v>10</v>
      </c>
      <c r="E1123" t="s">
        <v>22</v>
      </c>
      <c r="F1123">
        <v>50</v>
      </c>
      <c r="G1123">
        <v>3</v>
      </c>
      <c r="H1123">
        <v>20</v>
      </c>
      <c r="I1123" t="s">
        <v>26</v>
      </c>
      <c r="J1123" s="3">
        <v>606.63483699999995</v>
      </c>
      <c r="K1123" s="3">
        <v>22134.281999999999</v>
      </c>
      <c r="L1123" s="3">
        <v>22134.281999999999</v>
      </c>
      <c r="M1123" s="3">
        <v>22134.281999999999</v>
      </c>
      <c r="N1123" s="3">
        <v>22134.281999999999</v>
      </c>
      <c r="O1123" s="4">
        <v>0</v>
      </c>
      <c r="P1123" s="4">
        <v>0</v>
      </c>
      <c r="Q1123" s="4">
        <v>0</v>
      </c>
      <c r="R1123" s="5">
        <v>1.5699999999999999E-2</v>
      </c>
      <c r="S1123">
        <v>1</v>
      </c>
      <c r="T1123" t="b">
        <v>0</v>
      </c>
      <c r="U1123">
        <v>1</v>
      </c>
      <c r="V1123" s="4">
        <v>45.17</v>
      </c>
    </row>
    <row r="1124" spans="1:22" hidden="1" x14ac:dyDescent="0.35">
      <c r="A1124" t="s">
        <v>28</v>
      </c>
      <c r="B1124">
        <v>4</v>
      </c>
      <c r="C1124">
        <v>3</v>
      </c>
      <c r="D1124">
        <v>10</v>
      </c>
      <c r="E1124" t="s">
        <v>22</v>
      </c>
      <c r="F1124">
        <v>200</v>
      </c>
      <c r="G1124">
        <v>1</v>
      </c>
      <c r="H1124">
        <v>20</v>
      </c>
      <c r="I1124" t="s">
        <v>26</v>
      </c>
      <c r="J1124" s="3">
        <v>988.04439400000001</v>
      </c>
      <c r="K1124" s="3">
        <v>22134.281999999999</v>
      </c>
      <c r="L1124" s="3">
        <v>22134.281999999999</v>
      </c>
      <c r="M1124" s="3">
        <v>22134.281999999999</v>
      </c>
      <c r="N1124" s="3">
        <v>22134.281999999999</v>
      </c>
      <c r="O1124" s="4">
        <v>0</v>
      </c>
      <c r="P1124" s="4">
        <v>0</v>
      </c>
      <c r="Q1124" s="4">
        <v>0</v>
      </c>
      <c r="R1124" s="5">
        <v>1.6999999999999999E-3</v>
      </c>
      <c r="S1124">
        <v>1</v>
      </c>
      <c r="T1124" t="b">
        <v>0</v>
      </c>
      <c r="U1124">
        <v>1</v>
      </c>
      <c r="V1124" s="4">
        <v>16.13</v>
      </c>
    </row>
    <row r="1125" spans="1:22" hidden="1" x14ac:dyDescent="0.35">
      <c r="A1125" t="s">
        <v>28</v>
      </c>
      <c r="B1125">
        <v>4</v>
      </c>
      <c r="C1125">
        <v>3</v>
      </c>
      <c r="D1125">
        <v>10</v>
      </c>
      <c r="E1125" t="s">
        <v>22</v>
      </c>
      <c r="F1125">
        <v>200</v>
      </c>
      <c r="G1125">
        <v>3</v>
      </c>
      <c r="H1125">
        <v>20</v>
      </c>
      <c r="I1125" t="s">
        <v>26</v>
      </c>
      <c r="J1125" s="3">
        <v>606.63483699999995</v>
      </c>
      <c r="K1125" s="3">
        <v>22134.281999999999</v>
      </c>
      <c r="L1125" s="3">
        <v>22134.281999999999</v>
      </c>
      <c r="M1125" s="3">
        <v>22134.281999999999</v>
      </c>
      <c r="N1125" s="3">
        <v>22134.281999999999</v>
      </c>
      <c r="O1125" s="4">
        <v>0</v>
      </c>
      <c r="P1125" s="4">
        <v>0</v>
      </c>
      <c r="Q1125" s="4">
        <v>0</v>
      </c>
      <c r="R1125" s="5">
        <v>1.5699999999999999E-2</v>
      </c>
      <c r="S1125">
        <v>1</v>
      </c>
      <c r="T1125" t="b">
        <v>0</v>
      </c>
      <c r="U1125">
        <v>1</v>
      </c>
      <c r="V1125" s="4">
        <v>49.87</v>
      </c>
    </row>
    <row r="1126" spans="1:22" hidden="1" x14ac:dyDescent="0.35">
      <c r="A1126" t="s">
        <v>28</v>
      </c>
      <c r="B1126">
        <v>4</v>
      </c>
      <c r="C1126">
        <v>3</v>
      </c>
      <c r="D1126">
        <v>10</v>
      </c>
      <c r="E1126" t="s">
        <v>25</v>
      </c>
      <c r="F1126">
        <v>50</v>
      </c>
      <c r="G1126">
        <v>1</v>
      </c>
      <c r="H1126">
        <v>20</v>
      </c>
      <c r="I1126" t="s">
        <v>26</v>
      </c>
      <c r="J1126" s="3">
        <v>1071.2929790000001</v>
      </c>
      <c r="K1126" s="3">
        <v>22134.281999999999</v>
      </c>
      <c r="L1126" s="3">
        <v>22134.281999999999</v>
      </c>
      <c r="M1126" s="3">
        <v>22134.281999999999</v>
      </c>
      <c r="N1126" s="3">
        <v>22134.281999999999</v>
      </c>
      <c r="O1126" s="4">
        <v>0</v>
      </c>
      <c r="P1126" s="4">
        <v>0</v>
      </c>
      <c r="Q1126" s="4">
        <v>0</v>
      </c>
      <c r="R1126" s="5">
        <v>1E-4</v>
      </c>
      <c r="S1126">
        <v>1</v>
      </c>
      <c r="T1126" t="b">
        <v>0</v>
      </c>
      <c r="U1126">
        <v>1</v>
      </c>
      <c r="V1126" s="4">
        <v>2.9</v>
      </c>
    </row>
    <row r="1127" spans="1:22" hidden="1" x14ac:dyDescent="0.35">
      <c r="A1127" t="s">
        <v>28</v>
      </c>
      <c r="B1127">
        <v>4</v>
      </c>
      <c r="C1127">
        <v>3</v>
      </c>
      <c r="D1127">
        <v>10</v>
      </c>
      <c r="E1127" t="s">
        <v>25</v>
      </c>
      <c r="F1127">
        <v>50</v>
      </c>
      <c r="G1127">
        <v>3</v>
      </c>
      <c r="H1127">
        <v>20</v>
      </c>
      <c r="I1127" t="s">
        <v>26</v>
      </c>
      <c r="J1127" s="3">
        <v>1017.663262</v>
      </c>
      <c r="K1127" s="3">
        <v>22134.281999999999</v>
      </c>
      <c r="L1127" s="3">
        <v>22134.281999999999</v>
      </c>
      <c r="M1127" s="3">
        <v>22134.281999999999</v>
      </c>
      <c r="N1127" s="3">
        <v>22134.281999999999</v>
      </c>
      <c r="O1127" s="4">
        <v>0</v>
      </c>
      <c r="P1127" s="4">
        <v>0</v>
      </c>
      <c r="Q1127" s="4">
        <v>0</v>
      </c>
      <c r="R1127" s="5">
        <v>2.0999999999999999E-3</v>
      </c>
      <c r="S1127">
        <v>1</v>
      </c>
      <c r="T1127" t="b">
        <v>0</v>
      </c>
      <c r="U1127">
        <v>1</v>
      </c>
      <c r="V1127" s="4">
        <v>7.62</v>
      </c>
    </row>
    <row r="1128" spans="1:22" hidden="1" x14ac:dyDescent="0.35">
      <c r="A1128" t="s">
        <v>28</v>
      </c>
      <c r="B1128">
        <v>4</v>
      </c>
      <c r="C1128">
        <v>3</v>
      </c>
      <c r="D1128">
        <v>10</v>
      </c>
      <c r="E1128" t="s">
        <v>25</v>
      </c>
      <c r="F1128">
        <v>200</v>
      </c>
      <c r="G1128">
        <v>1</v>
      </c>
      <c r="H1128">
        <v>20</v>
      </c>
      <c r="I1128" t="s">
        <v>26</v>
      </c>
      <c r="J1128" s="3">
        <v>1071.2929790000001</v>
      </c>
      <c r="K1128" s="3">
        <v>22134.281999999999</v>
      </c>
      <c r="L1128" s="3">
        <v>22134.281999999999</v>
      </c>
      <c r="M1128" s="3">
        <v>22134.281999999999</v>
      </c>
      <c r="N1128" s="3">
        <v>22134.281999999999</v>
      </c>
      <c r="O1128" s="4">
        <v>0</v>
      </c>
      <c r="P1128" s="4">
        <v>0</v>
      </c>
      <c r="Q1128" s="4">
        <v>0</v>
      </c>
      <c r="R1128" s="5">
        <v>1E-4</v>
      </c>
      <c r="S1128">
        <v>1</v>
      </c>
      <c r="T1128" t="b">
        <v>0</v>
      </c>
      <c r="U1128">
        <v>1</v>
      </c>
      <c r="V1128" s="4">
        <v>3.07</v>
      </c>
    </row>
    <row r="1129" spans="1:22" hidden="1" x14ac:dyDescent="0.35">
      <c r="A1129" t="s">
        <v>28</v>
      </c>
      <c r="B1129">
        <v>4</v>
      </c>
      <c r="C1129">
        <v>3</v>
      </c>
      <c r="D1129">
        <v>10</v>
      </c>
      <c r="E1129" t="s">
        <v>25</v>
      </c>
      <c r="F1129">
        <v>200</v>
      </c>
      <c r="G1129">
        <v>3</v>
      </c>
      <c r="H1129">
        <v>20</v>
      </c>
      <c r="I1129" t="s">
        <v>26</v>
      </c>
      <c r="J1129" s="3">
        <v>1017.663262</v>
      </c>
      <c r="K1129" s="3">
        <v>22134.281999999999</v>
      </c>
      <c r="L1129" s="3">
        <v>22134.281999999999</v>
      </c>
      <c r="M1129" s="3">
        <v>22134.281999999999</v>
      </c>
      <c r="N1129" s="3">
        <v>22134.281999999999</v>
      </c>
      <c r="O1129" s="4">
        <v>0</v>
      </c>
      <c r="P1129" s="4">
        <v>0</v>
      </c>
      <c r="Q1129" s="4">
        <v>0</v>
      </c>
      <c r="R1129" s="5">
        <v>2.0999999999999999E-3</v>
      </c>
      <c r="S1129">
        <v>1</v>
      </c>
      <c r="T1129" t="b">
        <v>0</v>
      </c>
      <c r="U1129">
        <v>1</v>
      </c>
      <c r="V1129" s="4">
        <v>7.63</v>
      </c>
    </row>
    <row r="1130" spans="1:22" hidden="1" x14ac:dyDescent="0.35">
      <c r="A1130" t="s">
        <v>28</v>
      </c>
      <c r="B1130">
        <v>4</v>
      </c>
      <c r="C1130">
        <v>5</v>
      </c>
      <c r="D1130">
        <v>2</v>
      </c>
      <c r="E1130" t="s">
        <v>22</v>
      </c>
      <c r="F1130">
        <v>50</v>
      </c>
      <c r="G1130">
        <v>1</v>
      </c>
      <c r="H1130">
        <v>20</v>
      </c>
      <c r="I1130" t="s">
        <v>26</v>
      </c>
      <c r="J1130" s="3">
        <v>29.158539999999999</v>
      </c>
      <c r="K1130" s="3">
        <v>22134.281999999999</v>
      </c>
      <c r="L1130" s="3">
        <v>22134.281999999999</v>
      </c>
      <c r="M1130" s="3">
        <v>22134.281999999999</v>
      </c>
      <c r="N1130" s="3">
        <v>22134.281999999999</v>
      </c>
      <c r="O1130" s="4">
        <v>0</v>
      </c>
      <c r="P1130" s="4">
        <v>0</v>
      </c>
      <c r="Q1130" s="4">
        <v>0</v>
      </c>
      <c r="R1130" s="5">
        <v>0.20130000000000001</v>
      </c>
      <c r="S1130">
        <v>1</v>
      </c>
      <c r="T1130" t="b">
        <v>0</v>
      </c>
      <c r="U1130">
        <v>1</v>
      </c>
      <c r="V1130" s="4">
        <v>19.07</v>
      </c>
    </row>
    <row r="1131" spans="1:22" hidden="1" x14ac:dyDescent="0.35">
      <c r="A1131" t="s">
        <v>28</v>
      </c>
      <c r="B1131">
        <v>4</v>
      </c>
      <c r="C1131">
        <v>5</v>
      </c>
      <c r="D1131">
        <v>2</v>
      </c>
      <c r="E1131" t="s">
        <v>22</v>
      </c>
      <c r="F1131">
        <v>50</v>
      </c>
      <c r="G1131">
        <v>3</v>
      </c>
      <c r="H1131">
        <v>20</v>
      </c>
      <c r="I1131" t="s">
        <v>26</v>
      </c>
      <c r="J1131" s="3">
        <v>29.158539999999999</v>
      </c>
      <c r="K1131" s="3">
        <v>22134.281999999999</v>
      </c>
      <c r="L1131" s="3">
        <v>22134.281999999999</v>
      </c>
      <c r="M1131" s="3">
        <v>22134.281999999999</v>
      </c>
      <c r="N1131" s="3">
        <v>22134.281999999999</v>
      </c>
      <c r="O1131" s="4">
        <v>0</v>
      </c>
      <c r="P1131" s="4">
        <v>0</v>
      </c>
      <c r="Q1131" s="4">
        <v>0</v>
      </c>
      <c r="R1131" s="5">
        <v>0.20130000000000001</v>
      </c>
      <c r="S1131">
        <v>1</v>
      </c>
      <c r="T1131" t="b">
        <v>0</v>
      </c>
      <c r="U1131">
        <v>1</v>
      </c>
      <c r="V1131" s="4">
        <v>58.69</v>
      </c>
    </row>
    <row r="1132" spans="1:22" hidden="1" x14ac:dyDescent="0.35">
      <c r="A1132" t="s">
        <v>28</v>
      </c>
      <c r="B1132">
        <v>4</v>
      </c>
      <c r="C1132">
        <v>5</v>
      </c>
      <c r="D1132">
        <v>2</v>
      </c>
      <c r="E1132" t="s">
        <v>22</v>
      </c>
      <c r="F1132">
        <v>200</v>
      </c>
      <c r="G1132">
        <v>1</v>
      </c>
      <c r="H1132">
        <v>20</v>
      </c>
      <c r="I1132" t="s">
        <v>26</v>
      </c>
      <c r="J1132" s="3">
        <v>28.430337000000002</v>
      </c>
      <c r="K1132" s="3">
        <v>22134.281999999999</v>
      </c>
      <c r="L1132" s="3">
        <v>22134.281999999999</v>
      </c>
      <c r="M1132" s="3">
        <v>22134.281999999999</v>
      </c>
      <c r="N1132" s="3">
        <v>22134.281999999999</v>
      </c>
      <c r="O1132" s="4">
        <v>0</v>
      </c>
      <c r="P1132" s="4">
        <v>0</v>
      </c>
      <c r="Q1132" s="4">
        <v>0</v>
      </c>
      <c r="R1132" s="5">
        <v>0.20699999999999999</v>
      </c>
      <c r="S1132">
        <v>1</v>
      </c>
      <c r="T1132" t="b">
        <v>0</v>
      </c>
      <c r="U1132">
        <v>1</v>
      </c>
      <c r="V1132" s="4">
        <v>39.36</v>
      </c>
    </row>
    <row r="1133" spans="1:22" hidden="1" x14ac:dyDescent="0.35">
      <c r="A1133" t="s">
        <v>28</v>
      </c>
      <c r="B1133">
        <v>4</v>
      </c>
      <c r="C1133">
        <v>5</v>
      </c>
      <c r="D1133">
        <v>2</v>
      </c>
      <c r="E1133" t="s">
        <v>22</v>
      </c>
      <c r="F1133">
        <v>200</v>
      </c>
      <c r="G1133">
        <v>3</v>
      </c>
      <c r="H1133">
        <v>20</v>
      </c>
      <c r="I1133" t="s">
        <v>26</v>
      </c>
      <c r="J1133" s="3">
        <v>23.661187999999999</v>
      </c>
      <c r="K1133" s="3">
        <v>22134.281999999999</v>
      </c>
      <c r="L1133" s="3">
        <v>22134.281999999999</v>
      </c>
      <c r="M1133" s="3">
        <v>22134.281999999999</v>
      </c>
      <c r="N1133" s="3">
        <v>22134.281999999999</v>
      </c>
      <c r="O1133" s="4">
        <v>0</v>
      </c>
      <c r="P1133" s="4">
        <v>0</v>
      </c>
      <c r="Q1133" s="4">
        <v>0</v>
      </c>
      <c r="R1133" s="5">
        <v>0.58940000000000003</v>
      </c>
      <c r="S1133">
        <v>1</v>
      </c>
      <c r="T1133" t="b">
        <v>0</v>
      </c>
      <c r="U1133">
        <v>1</v>
      </c>
      <c r="V1133" s="4">
        <v>114.44</v>
      </c>
    </row>
    <row r="1134" spans="1:22" hidden="1" x14ac:dyDescent="0.35">
      <c r="A1134" t="s">
        <v>28</v>
      </c>
      <c r="B1134">
        <v>4</v>
      </c>
      <c r="C1134">
        <v>5</v>
      </c>
      <c r="D1134">
        <v>2</v>
      </c>
      <c r="E1134" t="s">
        <v>25</v>
      </c>
      <c r="F1134">
        <v>50</v>
      </c>
      <c r="G1134">
        <v>1</v>
      </c>
      <c r="H1134">
        <v>20</v>
      </c>
      <c r="I1134" t="s">
        <v>26</v>
      </c>
      <c r="J1134" s="3">
        <v>221.42531099999999</v>
      </c>
      <c r="K1134" s="3" t="s">
        <v>24</v>
      </c>
      <c r="L1134" s="3" t="s">
        <v>24</v>
      </c>
      <c r="M1134" s="3" t="s">
        <v>24</v>
      </c>
      <c r="N1134" s="3">
        <v>22134.281999999999</v>
      </c>
      <c r="O1134" s="4"/>
      <c r="P1134" s="4"/>
      <c r="Q1134" s="4"/>
      <c r="R1134" s="5">
        <v>0</v>
      </c>
      <c r="S1134">
        <v>0</v>
      </c>
      <c r="T1134" t="b">
        <v>1</v>
      </c>
      <c r="U1134">
        <v>-1</v>
      </c>
      <c r="V1134" s="4">
        <v>5.45</v>
      </c>
    </row>
    <row r="1135" spans="1:22" hidden="1" x14ac:dyDescent="0.35">
      <c r="A1135" t="s">
        <v>28</v>
      </c>
      <c r="B1135">
        <v>4</v>
      </c>
      <c r="C1135">
        <v>5</v>
      </c>
      <c r="D1135">
        <v>2</v>
      </c>
      <c r="E1135" t="s">
        <v>25</v>
      </c>
      <c r="F1135">
        <v>50</v>
      </c>
      <c r="G1135">
        <v>3</v>
      </c>
      <c r="H1135">
        <v>20</v>
      </c>
      <c r="I1135" t="s">
        <v>26</v>
      </c>
      <c r="J1135" s="3">
        <v>214.65451899999999</v>
      </c>
      <c r="K1135" s="3">
        <v>22134.281999999999</v>
      </c>
      <c r="L1135" s="3">
        <v>22134.281999999999</v>
      </c>
      <c r="M1135" s="3">
        <v>22134.281999999999</v>
      </c>
      <c r="N1135" s="3">
        <v>22134.281999999999</v>
      </c>
      <c r="O1135" s="4">
        <v>0</v>
      </c>
      <c r="P1135" s="4">
        <v>0</v>
      </c>
      <c r="Q1135" s="4">
        <v>0</v>
      </c>
      <c r="R1135" s="5">
        <v>1E-4</v>
      </c>
      <c r="S1135">
        <v>1</v>
      </c>
      <c r="T1135" t="b">
        <v>0</v>
      </c>
      <c r="U1135">
        <v>1</v>
      </c>
      <c r="V1135" s="4">
        <v>15.21</v>
      </c>
    </row>
    <row r="1136" spans="1:22" hidden="1" x14ac:dyDescent="0.35">
      <c r="A1136" t="s">
        <v>28</v>
      </c>
      <c r="B1136">
        <v>4</v>
      </c>
      <c r="C1136">
        <v>5</v>
      </c>
      <c r="D1136">
        <v>2</v>
      </c>
      <c r="E1136" t="s">
        <v>25</v>
      </c>
      <c r="F1136">
        <v>200</v>
      </c>
      <c r="G1136">
        <v>1</v>
      </c>
      <c r="H1136">
        <v>20</v>
      </c>
      <c r="I1136" t="s">
        <v>26</v>
      </c>
      <c r="J1136" s="3">
        <v>221.42531099999999</v>
      </c>
      <c r="K1136" s="3" t="s">
        <v>24</v>
      </c>
      <c r="L1136" s="3" t="s">
        <v>24</v>
      </c>
      <c r="M1136" s="3" t="s">
        <v>24</v>
      </c>
      <c r="N1136" s="3">
        <v>22134.281999999999</v>
      </c>
      <c r="O1136" s="4"/>
      <c r="P1136" s="4"/>
      <c r="Q1136" s="4"/>
      <c r="R1136" s="5">
        <v>0</v>
      </c>
      <c r="S1136">
        <v>0</v>
      </c>
      <c r="T1136" t="b">
        <v>1</v>
      </c>
      <c r="U1136">
        <v>-1</v>
      </c>
      <c r="V1136" s="4">
        <v>5.31</v>
      </c>
    </row>
    <row r="1137" spans="1:22" hidden="1" x14ac:dyDescent="0.35">
      <c r="A1137" t="s">
        <v>28</v>
      </c>
      <c r="B1137">
        <v>4</v>
      </c>
      <c r="C1137">
        <v>5</v>
      </c>
      <c r="D1137">
        <v>2</v>
      </c>
      <c r="E1137" t="s">
        <v>25</v>
      </c>
      <c r="F1137">
        <v>200</v>
      </c>
      <c r="G1137">
        <v>3</v>
      </c>
      <c r="H1137">
        <v>20</v>
      </c>
      <c r="I1137" t="s">
        <v>26</v>
      </c>
      <c r="J1137" s="3">
        <v>214.65451899999999</v>
      </c>
      <c r="K1137" s="3">
        <v>22134.281999999999</v>
      </c>
      <c r="L1137" s="3">
        <v>22134.281999999999</v>
      </c>
      <c r="M1137" s="3">
        <v>22134.281999999999</v>
      </c>
      <c r="N1137" s="3">
        <v>22134.281999999999</v>
      </c>
      <c r="O1137" s="4">
        <v>0</v>
      </c>
      <c r="P1137" s="4">
        <v>0</v>
      </c>
      <c r="Q1137" s="4">
        <v>0</v>
      </c>
      <c r="R1137" s="5">
        <v>1E-4</v>
      </c>
      <c r="S1137">
        <v>1</v>
      </c>
      <c r="T1137" t="b">
        <v>0</v>
      </c>
      <c r="U1137">
        <v>1</v>
      </c>
      <c r="V1137" s="4">
        <v>14.99</v>
      </c>
    </row>
    <row r="1138" spans="1:22" hidden="1" x14ac:dyDescent="0.35">
      <c r="A1138" t="s">
        <v>28</v>
      </c>
      <c r="B1138">
        <v>4</v>
      </c>
      <c r="C1138">
        <v>5</v>
      </c>
      <c r="D1138">
        <v>5</v>
      </c>
      <c r="E1138" t="s">
        <v>22</v>
      </c>
      <c r="F1138">
        <v>50</v>
      </c>
      <c r="G1138">
        <v>1</v>
      </c>
      <c r="H1138">
        <v>20</v>
      </c>
      <c r="I1138" t="s">
        <v>26</v>
      </c>
      <c r="J1138" s="3">
        <v>62.035722</v>
      </c>
      <c r="K1138" s="3">
        <v>22134.281999999999</v>
      </c>
      <c r="L1138" s="3">
        <v>22134.281999999999</v>
      </c>
      <c r="M1138" s="3">
        <v>22134.281999999999</v>
      </c>
      <c r="N1138" s="3">
        <v>22134.281999999999</v>
      </c>
      <c r="O1138" s="4">
        <v>0</v>
      </c>
      <c r="P1138" s="4">
        <v>0</v>
      </c>
      <c r="Q1138" s="4">
        <v>0</v>
      </c>
      <c r="R1138" s="5">
        <v>0.31540000000000001</v>
      </c>
      <c r="S1138">
        <v>1</v>
      </c>
      <c r="T1138" t="b">
        <v>0</v>
      </c>
      <c r="U1138">
        <v>1</v>
      </c>
      <c r="V1138" s="4">
        <v>18.98</v>
      </c>
    </row>
    <row r="1139" spans="1:22" hidden="1" x14ac:dyDescent="0.35">
      <c r="A1139" t="s">
        <v>28</v>
      </c>
      <c r="B1139">
        <v>4</v>
      </c>
      <c r="C1139">
        <v>5</v>
      </c>
      <c r="D1139">
        <v>5</v>
      </c>
      <c r="E1139" t="s">
        <v>22</v>
      </c>
      <c r="F1139">
        <v>50</v>
      </c>
      <c r="G1139">
        <v>3</v>
      </c>
      <c r="H1139">
        <v>20</v>
      </c>
      <c r="I1139" t="s">
        <v>26</v>
      </c>
      <c r="J1139" s="3">
        <v>62.035722</v>
      </c>
      <c r="K1139" s="3">
        <v>22134.281999999999</v>
      </c>
      <c r="L1139" s="3">
        <v>22134.281999999999</v>
      </c>
      <c r="M1139" s="3">
        <v>22134.281999999999</v>
      </c>
      <c r="N1139" s="3">
        <v>22134.281999999999</v>
      </c>
      <c r="O1139" s="4">
        <v>0</v>
      </c>
      <c r="P1139" s="4">
        <v>0</v>
      </c>
      <c r="Q1139" s="4">
        <v>0</v>
      </c>
      <c r="R1139" s="5">
        <v>0.31540000000000001</v>
      </c>
      <c r="S1139">
        <v>1</v>
      </c>
      <c r="T1139" t="b">
        <v>0</v>
      </c>
      <c r="U1139">
        <v>1</v>
      </c>
      <c r="V1139" s="4">
        <v>58.93</v>
      </c>
    </row>
    <row r="1140" spans="1:22" hidden="1" x14ac:dyDescent="0.35">
      <c r="A1140" t="s">
        <v>28</v>
      </c>
      <c r="B1140">
        <v>4</v>
      </c>
      <c r="C1140">
        <v>5</v>
      </c>
      <c r="D1140">
        <v>5</v>
      </c>
      <c r="E1140" t="s">
        <v>22</v>
      </c>
      <c r="F1140">
        <v>200</v>
      </c>
      <c r="G1140">
        <v>1</v>
      </c>
      <c r="H1140">
        <v>20</v>
      </c>
      <c r="I1140" t="s">
        <v>26</v>
      </c>
      <c r="J1140" s="3">
        <v>46.421671000000003</v>
      </c>
      <c r="K1140" s="3">
        <v>22134.281999999999</v>
      </c>
      <c r="L1140" s="3">
        <v>22134.281999999999</v>
      </c>
      <c r="M1140" s="3">
        <v>22134.281999999999</v>
      </c>
      <c r="N1140" s="3">
        <v>22134.281999999999</v>
      </c>
      <c r="O1140" s="4">
        <v>0</v>
      </c>
      <c r="P1140" s="4">
        <v>0</v>
      </c>
      <c r="Q1140" s="4">
        <v>0</v>
      </c>
      <c r="R1140" s="5">
        <v>0.39789999999999998</v>
      </c>
      <c r="S1140">
        <v>1</v>
      </c>
      <c r="T1140" t="b">
        <v>0</v>
      </c>
      <c r="U1140">
        <v>1</v>
      </c>
      <c r="V1140" s="4">
        <v>35.340000000000003</v>
      </c>
    </row>
    <row r="1141" spans="1:22" hidden="1" x14ac:dyDescent="0.35">
      <c r="A1141" t="s">
        <v>28</v>
      </c>
      <c r="B1141">
        <v>4</v>
      </c>
      <c r="C1141">
        <v>5</v>
      </c>
      <c r="D1141">
        <v>5</v>
      </c>
      <c r="E1141" t="s">
        <v>22</v>
      </c>
      <c r="F1141">
        <v>200</v>
      </c>
      <c r="G1141">
        <v>3</v>
      </c>
      <c r="H1141">
        <v>20</v>
      </c>
      <c r="I1141" t="s">
        <v>26</v>
      </c>
      <c r="J1141" s="3">
        <v>46.421671000000003</v>
      </c>
      <c r="K1141" s="3">
        <v>22134.281999999999</v>
      </c>
      <c r="L1141" s="3">
        <v>22134.281999999999</v>
      </c>
      <c r="M1141" s="3">
        <v>22134.281999999999</v>
      </c>
      <c r="N1141" s="3">
        <v>22134.281999999999</v>
      </c>
      <c r="O1141" s="4">
        <v>0</v>
      </c>
      <c r="P1141" s="4">
        <v>0</v>
      </c>
      <c r="Q1141" s="4">
        <v>0</v>
      </c>
      <c r="R1141" s="5">
        <v>0.39789999999999998</v>
      </c>
      <c r="S1141">
        <v>1</v>
      </c>
      <c r="T1141" t="b">
        <v>0</v>
      </c>
      <c r="U1141">
        <v>1</v>
      </c>
      <c r="V1141" s="4">
        <v>99.2</v>
      </c>
    </row>
    <row r="1142" spans="1:22" hidden="1" x14ac:dyDescent="0.35">
      <c r="A1142" t="s">
        <v>28</v>
      </c>
      <c r="B1142">
        <v>4</v>
      </c>
      <c r="C1142">
        <v>5</v>
      </c>
      <c r="D1142">
        <v>5</v>
      </c>
      <c r="E1142" t="s">
        <v>25</v>
      </c>
      <c r="F1142">
        <v>50</v>
      </c>
      <c r="G1142">
        <v>1</v>
      </c>
      <c r="H1142">
        <v>20</v>
      </c>
      <c r="I1142" t="s">
        <v>26</v>
      </c>
      <c r="J1142" s="3">
        <v>533.37911599999995</v>
      </c>
      <c r="K1142" s="3" t="s">
        <v>24</v>
      </c>
      <c r="L1142" s="3" t="s">
        <v>24</v>
      </c>
      <c r="M1142" s="3" t="s">
        <v>24</v>
      </c>
      <c r="N1142" s="3">
        <v>22134.281999999999</v>
      </c>
      <c r="O1142" s="4"/>
      <c r="P1142" s="4"/>
      <c r="Q1142" s="4"/>
      <c r="R1142" s="5">
        <v>0</v>
      </c>
      <c r="S1142">
        <v>0</v>
      </c>
      <c r="T1142" t="b">
        <v>1</v>
      </c>
      <c r="U1142">
        <v>-1</v>
      </c>
      <c r="V1142" s="4">
        <v>5.59</v>
      </c>
    </row>
    <row r="1143" spans="1:22" hidden="1" x14ac:dyDescent="0.35">
      <c r="A1143" t="s">
        <v>28</v>
      </c>
      <c r="B1143">
        <v>4</v>
      </c>
      <c r="C1143">
        <v>5</v>
      </c>
      <c r="D1143">
        <v>5</v>
      </c>
      <c r="E1143" t="s">
        <v>25</v>
      </c>
      <c r="F1143">
        <v>50</v>
      </c>
      <c r="G1143">
        <v>3</v>
      </c>
      <c r="H1143">
        <v>20</v>
      </c>
      <c r="I1143" t="s">
        <v>26</v>
      </c>
      <c r="J1143" s="3">
        <v>533.37911599999995</v>
      </c>
      <c r="K1143" s="3" t="s">
        <v>24</v>
      </c>
      <c r="L1143" s="3" t="s">
        <v>24</v>
      </c>
      <c r="M1143" s="3" t="s">
        <v>24</v>
      </c>
      <c r="N1143" s="3">
        <v>22134.281999999999</v>
      </c>
      <c r="O1143" s="4"/>
      <c r="P1143" s="4"/>
      <c r="Q1143" s="4"/>
      <c r="R1143" s="5">
        <v>0</v>
      </c>
      <c r="S1143">
        <v>0</v>
      </c>
      <c r="T1143" t="b">
        <v>1</v>
      </c>
      <c r="U1143">
        <v>-1</v>
      </c>
      <c r="V1143" s="4">
        <v>15.07</v>
      </c>
    </row>
    <row r="1144" spans="1:22" hidden="1" x14ac:dyDescent="0.35">
      <c r="A1144" t="s">
        <v>28</v>
      </c>
      <c r="B1144">
        <v>4</v>
      </c>
      <c r="C1144">
        <v>5</v>
      </c>
      <c r="D1144">
        <v>5</v>
      </c>
      <c r="E1144" t="s">
        <v>25</v>
      </c>
      <c r="F1144">
        <v>200</v>
      </c>
      <c r="G1144">
        <v>1</v>
      </c>
      <c r="H1144">
        <v>20</v>
      </c>
      <c r="I1144" t="s">
        <v>26</v>
      </c>
      <c r="J1144" s="3">
        <v>533.37911599999995</v>
      </c>
      <c r="K1144" s="3" t="s">
        <v>24</v>
      </c>
      <c r="L1144" s="3" t="s">
        <v>24</v>
      </c>
      <c r="M1144" s="3" t="s">
        <v>24</v>
      </c>
      <c r="N1144" s="3">
        <v>22134.281999999999</v>
      </c>
      <c r="O1144" s="4"/>
      <c r="P1144" s="4"/>
      <c r="Q1144" s="4"/>
      <c r="R1144" s="5">
        <v>0</v>
      </c>
      <c r="S1144">
        <v>0</v>
      </c>
      <c r="T1144" t="b">
        <v>1</v>
      </c>
      <c r="U1144">
        <v>-1</v>
      </c>
      <c r="V1144" s="4">
        <v>5.44</v>
      </c>
    </row>
    <row r="1145" spans="1:22" hidden="1" x14ac:dyDescent="0.35">
      <c r="A1145" t="s">
        <v>28</v>
      </c>
      <c r="B1145">
        <v>4</v>
      </c>
      <c r="C1145">
        <v>5</v>
      </c>
      <c r="D1145">
        <v>5</v>
      </c>
      <c r="E1145" t="s">
        <v>25</v>
      </c>
      <c r="F1145">
        <v>200</v>
      </c>
      <c r="G1145">
        <v>3</v>
      </c>
      <c r="H1145">
        <v>20</v>
      </c>
      <c r="I1145" t="s">
        <v>26</v>
      </c>
      <c r="J1145" s="3">
        <v>533.37911599999995</v>
      </c>
      <c r="K1145" s="3" t="s">
        <v>24</v>
      </c>
      <c r="L1145" s="3" t="s">
        <v>24</v>
      </c>
      <c r="M1145" s="3" t="s">
        <v>24</v>
      </c>
      <c r="N1145" s="3">
        <v>22134.281999999999</v>
      </c>
      <c r="O1145" s="4"/>
      <c r="P1145" s="4"/>
      <c r="Q1145" s="4"/>
      <c r="R1145" s="5">
        <v>0</v>
      </c>
      <c r="S1145">
        <v>0</v>
      </c>
      <c r="T1145" t="b">
        <v>1</v>
      </c>
      <c r="U1145">
        <v>-1</v>
      </c>
      <c r="V1145" s="4">
        <v>15.15</v>
      </c>
    </row>
    <row r="1146" spans="1:22" hidden="1" x14ac:dyDescent="0.35">
      <c r="A1146" t="s">
        <v>28</v>
      </c>
      <c r="B1146">
        <v>4</v>
      </c>
      <c r="C1146">
        <v>5</v>
      </c>
      <c r="D1146">
        <v>10</v>
      </c>
      <c r="E1146" t="s">
        <v>22</v>
      </c>
      <c r="F1146">
        <v>50</v>
      </c>
      <c r="G1146">
        <v>1</v>
      </c>
      <c r="H1146">
        <v>20</v>
      </c>
      <c r="I1146" t="s">
        <v>26</v>
      </c>
      <c r="J1146" s="3">
        <v>86.860184000000004</v>
      </c>
      <c r="K1146" s="3">
        <v>22134.281999999999</v>
      </c>
      <c r="L1146" s="3">
        <v>22134.281999999999</v>
      </c>
      <c r="M1146" s="3">
        <v>22134.281999999999</v>
      </c>
      <c r="N1146" s="3">
        <v>22134.281999999999</v>
      </c>
      <c r="O1146" s="4">
        <v>0</v>
      </c>
      <c r="P1146" s="4">
        <v>0</v>
      </c>
      <c r="Q1146" s="4">
        <v>0</v>
      </c>
      <c r="R1146" s="5">
        <v>0.33789999999999998</v>
      </c>
      <c r="S1146">
        <v>1</v>
      </c>
      <c r="T1146" t="b">
        <v>0</v>
      </c>
      <c r="U1146">
        <v>1</v>
      </c>
      <c r="V1146" s="4">
        <v>18.829999999999998</v>
      </c>
    </row>
    <row r="1147" spans="1:22" hidden="1" x14ac:dyDescent="0.35">
      <c r="A1147" t="s">
        <v>28</v>
      </c>
      <c r="B1147">
        <v>4</v>
      </c>
      <c r="C1147">
        <v>5</v>
      </c>
      <c r="D1147">
        <v>10</v>
      </c>
      <c r="E1147" t="s">
        <v>22</v>
      </c>
      <c r="F1147">
        <v>50</v>
      </c>
      <c r="G1147">
        <v>3</v>
      </c>
      <c r="H1147">
        <v>20</v>
      </c>
      <c r="I1147" t="s">
        <v>26</v>
      </c>
      <c r="J1147" s="3">
        <v>86.860184000000004</v>
      </c>
      <c r="K1147" s="3">
        <v>22134.281999999999</v>
      </c>
      <c r="L1147" s="3">
        <v>22134.281999999999</v>
      </c>
      <c r="M1147" s="3">
        <v>22134.281999999999</v>
      </c>
      <c r="N1147" s="3">
        <v>22134.281999999999</v>
      </c>
      <c r="O1147" s="4">
        <v>0</v>
      </c>
      <c r="P1147" s="4">
        <v>0</v>
      </c>
      <c r="Q1147" s="4">
        <v>0</v>
      </c>
      <c r="R1147" s="5">
        <v>0.33789999999999998</v>
      </c>
      <c r="S1147">
        <v>1</v>
      </c>
      <c r="T1147" t="b">
        <v>0</v>
      </c>
      <c r="U1147">
        <v>1</v>
      </c>
      <c r="V1147" s="4">
        <v>59.38</v>
      </c>
    </row>
    <row r="1148" spans="1:22" hidden="1" x14ac:dyDescent="0.35">
      <c r="A1148" t="s">
        <v>28</v>
      </c>
      <c r="B1148">
        <v>4</v>
      </c>
      <c r="C1148">
        <v>5</v>
      </c>
      <c r="D1148">
        <v>10</v>
      </c>
      <c r="E1148" t="s">
        <v>22</v>
      </c>
      <c r="F1148">
        <v>200</v>
      </c>
      <c r="G1148">
        <v>1</v>
      </c>
      <c r="H1148">
        <v>20</v>
      </c>
      <c r="I1148" t="s">
        <v>26</v>
      </c>
      <c r="J1148" s="3">
        <v>86.852107000000004</v>
      </c>
      <c r="K1148" s="3">
        <v>22134.281999999999</v>
      </c>
      <c r="L1148" s="3">
        <v>22134.281999999999</v>
      </c>
      <c r="M1148" s="3">
        <v>22134.281999999999</v>
      </c>
      <c r="N1148" s="3">
        <v>22134.281999999999</v>
      </c>
      <c r="O1148" s="4">
        <v>0</v>
      </c>
      <c r="P1148" s="4">
        <v>0</v>
      </c>
      <c r="Q1148" s="4">
        <v>0</v>
      </c>
      <c r="R1148" s="5">
        <v>0.33789999999999998</v>
      </c>
      <c r="S1148">
        <v>1</v>
      </c>
      <c r="T1148" t="b">
        <v>0</v>
      </c>
      <c r="U1148">
        <v>1</v>
      </c>
      <c r="V1148" s="4">
        <v>29.98</v>
      </c>
    </row>
    <row r="1149" spans="1:22" hidden="1" x14ac:dyDescent="0.35">
      <c r="A1149" t="s">
        <v>28</v>
      </c>
      <c r="B1149">
        <v>4</v>
      </c>
      <c r="C1149">
        <v>5</v>
      </c>
      <c r="D1149">
        <v>10</v>
      </c>
      <c r="E1149" t="s">
        <v>22</v>
      </c>
      <c r="F1149">
        <v>200</v>
      </c>
      <c r="G1149">
        <v>3</v>
      </c>
      <c r="H1149">
        <v>20</v>
      </c>
      <c r="I1149" t="s">
        <v>26</v>
      </c>
      <c r="J1149" s="3">
        <v>86.852107000000004</v>
      </c>
      <c r="K1149" s="3">
        <v>22134.281999999999</v>
      </c>
      <c r="L1149" s="3">
        <v>22134.281999999999</v>
      </c>
      <c r="M1149" s="3">
        <v>22134.281999999999</v>
      </c>
      <c r="N1149" s="3">
        <v>22134.281999999999</v>
      </c>
      <c r="O1149" s="4">
        <v>0</v>
      </c>
      <c r="P1149" s="4">
        <v>0</v>
      </c>
      <c r="Q1149" s="4">
        <v>0</v>
      </c>
      <c r="R1149" s="5">
        <v>0.33789999999999998</v>
      </c>
      <c r="S1149">
        <v>1</v>
      </c>
      <c r="T1149" t="b">
        <v>0</v>
      </c>
      <c r="U1149">
        <v>1</v>
      </c>
      <c r="V1149" s="4">
        <v>103.2</v>
      </c>
    </row>
    <row r="1150" spans="1:22" hidden="1" x14ac:dyDescent="0.35">
      <c r="A1150" t="s">
        <v>28</v>
      </c>
      <c r="B1150">
        <v>4</v>
      </c>
      <c r="C1150">
        <v>5</v>
      </c>
      <c r="D1150">
        <v>10</v>
      </c>
      <c r="E1150" t="s">
        <v>25</v>
      </c>
      <c r="F1150">
        <v>50</v>
      </c>
      <c r="G1150">
        <v>1</v>
      </c>
      <c r="H1150">
        <v>20</v>
      </c>
      <c r="I1150" t="s">
        <v>26</v>
      </c>
      <c r="J1150" s="3">
        <v>1065.1612239999999</v>
      </c>
      <c r="K1150" s="3" t="s">
        <v>24</v>
      </c>
      <c r="L1150" s="3" t="s">
        <v>24</v>
      </c>
      <c r="M1150" s="3" t="s">
        <v>24</v>
      </c>
      <c r="N1150" s="3">
        <v>22134.281999999999</v>
      </c>
      <c r="O1150" s="4"/>
      <c r="P1150" s="4"/>
      <c r="Q1150" s="4"/>
      <c r="R1150" s="5">
        <v>0</v>
      </c>
      <c r="S1150">
        <v>0</v>
      </c>
      <c r="T1150" t="b">
        <v>1</v>
      </c>
      <c r="U1150">
        <v>-1</v>
      </c>
      <c r="V1150" s="4">
        <v>5.39</v>
      </c>
    </row>
    <row r="1151" spans="1:22" hidden="1" x14ac:dyDescent="0.35">
      <c r="A1151" t="s">
        <v>28</v>
      </c>
      <c r="B1151">
        <v>4</v>
      </c>
      <c r="C1151">
        <v>5</v>
      </c>
      <c r="D1151">
        <v>10</v>
      </c>
      <c r="E1151" t="s">
        <v>25</v>
      </c>
      <c r="F1151">
        <v>50</v>
      </c>
      <c r="G1151">
        <v>3</v>
      </c>
      <c r="H1151">
        <v>20</v>
      </c>
      <c r="I1151" t="s">
        <v>26</v>
      </c>
      <c r="J1151" s="3">
        <v>1065.1145739999999</v>
      </c>
      <c r="K1151" s="3">
        <v>22134.281999999999</v>
      </c>
      <c r="L1151" s="3">
        <v>22134.281999999999</v>
      </c>
      <c r="M1151" s="3">
        <v>22134.281999999999</v>
      </c>
      <c r="N1151" s="3">
        <v>22134.281999999999</v>
      </c>
      <c r="O1151" s="4">
        <v>0</v>
      </c>
      <c r="P1151" s="4">
        <v>0</v>
      </c>
      <c r="Q1151" s="4">
        <v>0</v>
      </c>
      <c r="R1151" s="5">
        <v>1E-4</v>
      </c>
      <c r="S1151">
        <v>1</v>
      </c>
      <c r="T1151" t="b">
        <v>0</v>
      </c>
      <c r="U1151">
        <v>1</v>
      </c>
      <c r="V1151" s="4">
        <v>15.09</v>
      </c>
    </row>
    <row r="1152" spans="1:22" hidden="1" x14ac:dyDescent="0.35">
      <c r="A1152" t="s">
        <v>28</v>
      </c>
      <c r="B1152">
        <v>4</v>
      </c>
      <c r="C1152">
        <v>5</v>
      </c>
      <c r="D1152">
        <v>10</v>
      </c>
      <c r="E1152" t="s">
        <v>25</v>
      </c>
      <c r="F1152">
        <v>200</v>
      </c>
      <c r="G1152">
        <v>1</v>
      </c>
      <c r="H1152">
        <v>20</v>
      </c>
      <c r="I1152" t="s">
        <v>26</v>
      </c>
      <c r="J1152" s="3">
        <v>1065.1612239999999</v>
      </c>
      <c r="K1152" s="3" t="s">
        <v>24</v>
      </c>
      <c r="L1152" s="3" t="s">
        <v>24</v>
      </c>
      <c r="M1152" s="3" t="s">
        <v>24</v>
      </c>
      <c r="N1152" s="3">
        <v>22134.281999999999</v>
      </c>
      <c r="O1152" s="4"/>
      <c r="P1152" s="4"/>
      <c r="Q1152" s="4"/>
      <c r="R1152" s="5">
        <v>0</v>
      </c>
      <c r="S1152">
        <v>0</v>
      </c>
      <c r="T1152" t="b">
        <v>1</v>
      </c>
      <c r="U1152">
        <v>-1</v>
      </c>
      <c r="V1152" s="4">
        <v>5.37</v>
      </c>
    </row>
    <row r="1153" spans="1:22" hidden="1" x14ac:dyDescent="0.35">
      <c r="A1153" t="s">
        <v>28</v>
      </c>
      <c r="B1153">
        <v>4</v>
      </c>
      <c r="C1153">
        <v>5</v>
      </c>
      <c r="D1153">
        <v>10</v>
      </c>
      <c r="E1153" t="s">
        <v>25</v>
      </c>
      <c r="F1153">
        <v>200</v>
      </c>
      <c r="G1153">
        <v>3</v>
      </c>
      <c r="H1153">
        <v>20</v>
      </c>
      <c r="I1153" t="s">
        <v>26</v>
      </c>
      <c r="J1153" s="3">
        <v>1065.1145739999999</v>
      </c>
      <c r="K1153" s="3">
        <v>22134.281999999999</v>
      </c>
      <c r="L1153" s="3">
        <v>22134.281999999999</v>
      </c>
      <c r="M1153" s="3">
        <v>22134.281999999999</v>
      </c>
      <c r="N1153" s="3">
        <v>22134.281999999999</v>
      </c>
      <c r="O1153" s="4">
        <v>0</v>
      </c>
      <c r="P1153" s="4">
        <v>0</v>
      </c>
      <c r="Q1153" s="4">
        <v>0</v>
      </c>
      <c r="R1153" s="5">
        <v>1E-4</v>
      </c>
      <c r="S1153">
        <v>1</v>
      </c>
      <c r="T1153" t="b">
        <v>0</v>
      </c>
      <c r="U1153">
        <v>1</v>
      </c>
      <c r="V1153" s="4">
        <v>15.12</v>
      </c>
    </row>
    <row r="1154" spans="1:22" x14ac:dyDescent="0.35">
      <c r="A1154" t="s">
        <v>21</v>
      </c>
      <c r="B1154">
        <v>1</v>
      </c>
      <c r="C1154">
        <v>2</v>
      </c>
      <c r="D1154">
        <v>2</v>
      </c>
      <c r="E1154" t="s">
        <v>29</v>
      </c>
      <c r="F1154">
        <v>50</v>
      </c>
      <c r="G1154">
        <v>1</v>
      </c>
      <c r="H1154">
        <v>16</v>
      </c>
      <c r="I1154" t="s">
        <v>23</v>
      </c>
      <c r="J1154" s="3">
        <v>59.829107999999998</v>
      </c>
      <c r="K1154" s="3">
        <v>12214.556</v>
      </c>
      <c r="L1154" s="3">
        <v>13410.209000000001</v>
      </c>
      <c r="M1154" s="3">
        <v>12214.556</v>
      </c>
      <c r="N1154" s="3">
        <v>12214.556</v>
      </c>
      <c r="O1154" s="4">
        <v>0</v>
      </c>
      <c r="P1154" s="4">
        <v>9.7888000000000002</v>
      </c>
      <c r="Q1154" s="4">
        <v>0</v>
      </c>
      <c r="R1154" s="5">
        <v>2.46E-2</v>
      </c>
      <c r="S1154">
        <v>24</v>
      </c>
      <c r="T1154" t="b">
        <v>0</v>
      </c>
      <c r="U1154">
        <v>7</v>
      </c>
      <c r="V1154" s="4">
        <v>24.94</v>
      </c>
    </row>
    <row r="1155" spans="1:22" x14ac:dyDescent="0.35">
      <c r="A1155" t="s">
        <v>21</v>
      </c>
      <c r="B1155">
        <v>1</v>
      </c>
      <c r="C1155">
        <v>2</v>
      </c>
      <c r="D1155">
        <v>2</v>
      </c>
      <c r="E1155" t="s">
        <v>29</v>
      </c>
      <c r="F1155">
        <v>50</v>
      </c>
      <c r="G1155">
        <v>3</v>
      </c>
      <c r="H1155">
        <v>16</v>
      </c>
      <c r="I1155" t="s">
        <v>23</v>
      </c>
      <c r="J1155" s="3">
        <v>55.106824000000003</v>
      </c>
      <c r="K1155" s="3">
        <v>13028.438</v>
      </c>
      <c r="L1155" s="3">
        <v>13576.358</v>
      </c>
      <c r="M1155" s="3">
        <v>13028.438</v>
      </c>
      <c r="N1155" s="3">
        <v>12214.556</v>
      </c>
      <c r="O1155" s="4">
        <v>6.6631999999999998</v>
      </c>
      <c r="P1155" s="4">
        <v>11.148999999999999</v>
      </c>
      <c r="Q1155" s="4">
        <v>6.6631999999999998</v>
      </c>
      <c r="R1155" s="5">
        <v>2.9999999999999997E-4</v>
      </c>
      <c r="S1155">
        <v>3</v>
      </c>
      <c r="T1155" t="b">
        <v>0</v>
      </c>
      <c r="U1155">
        <v>2</v>
      </c>
      <c r="V1155" s="4">
        <v>70.95</v>
      </c>
    </row>
    <row r="1156" spans="1:22" x14ac:dyDescent="0.35">
      <c r="A1156" t="s">
        <v>21</v>
      </c>
      <c r="B1156">
        <v>1</v>
      </c>
      <c r="C1156">
        <v>2</v>
      </c>
      <c r="D1156">
        <v>2</v>
      </c>
      <c r="E1156" t="s">
        <v>29</v>
      </c>
      <c r="F1156">
        <v>200</v>
      </c>
      <c r="G1156">
        <v>1</v>
      </c>
      <c r="H1156">
        <v>16</v>
      </c>
      <c r="I1156" t="s">
        <v>23</v>
      </c>
      <c r="J1156" s="3">
        <v>43.950270000000003</v>
      </c>
      <c r="K1156" s="3" t="s">
        <v>24</v>
      </c>
      <c r="L1156" s="3" t="s">
        <v>24</v>
      </c>
      <c r="M1156" s="3" t="s">
        <v>24</v>
      </c>
      <c r="N1156" s="3">
        <v>12214.556</v>
      </c>
      <c r="O1156" s="4"/>
      <c r="P1156" s="4"/>
      <c r="Q1156" s="4"/>
      <c r="R1156" s="5">
        <v>0</v>
      </c>
      <c r="S1156">
        <v>0</v>
      </c>
      <c r="T1156" t="b">
        <v>1</v>
      </c>
      <c r="U1156">
        <v>-1</v>
      </c>
      <c r="V1156" s="4">
        <v>65.22</v>
      </c>
    </row>
    <row r="1157" spans="1:22" x14ac:dyDescent="0.35">
      <c r="A1157" t="s">
        <v>21</v>
      </c>
      <c r="B1157">
        <v>1</v>
      </c>
      <c r="C1157">
        <v>2</v>
      </c>
      <c r="D1157">
        <v>2</v>
      </c>
      <c r="E1157" t="s">
        <v>29</v>
      </c>
      <c r="F1157">
        <v>200</v>
      </c>
      <c r="G1157">
        <v>3</v>
      </c>
      <c r="H1157">
        <v>16</v>
      </c>
      <c r="I1157" t="s">
        <v>23</v>
      </c>
      <c r="J1157" s="3">
        <v>43.950270000000003</v>
      </c>
      <c r="K1157" s="3" t="s">
        <v>24</v>
      </c>
      <c r="L1157" s="3" t="s">
        <v>24</v>
      </c>
      <c r="M1157" s="3" t="s">
        <v>24</v>
      </c>
      <c r="N1157" s="3">
        <v>12214.556</v>
      </c>
      <c r="O1157" s="4"/>
      <c r="P1157" s="4"/>
      <c r="Q1157" s="4"/>
      <c r="R1157" s="5">
        <v>0</v>
      </c>
      <c r="S1157">
        <v>0</v>
      </c>
      <c r="T1157" t="b">
        <v>1</v>
      </c>
      <c r="U1157">
        <v>-1</v>
      </c>
      <c r="V1157" s="4">
        <v>200.71</v>
      </c>
    </row>
    <row r="1158" spans="1:22" x14ac:dyDescent="0.35">
      <c r="A1158" t="s">
        <v>21</v>
      </c>
      <c r="B1158">
        <v>1</v>
      </c>
      <c r="C1158">
        <v>2</v>
      </c>
      <c r="D1158">
        <v>5</v>
      </c>
      <c r="E1158" t="s">
        <v>29</v>
      </c>
      <c r="F1158">
        <v>50</v>
      </c>
      <c r="G1158">
        <v>1</v>
      </c>
      <c r="H1158">
        <v>16</v>
      </c>
      <c r="I1158" t="s">
        <v>23</v>
      </c>
      <c r="J1158" s="3">
        <v>68.430339000000004</v>
      </c>
      <c r="K1158" s="3">
        <v>12895.062</v>
      </c>
      <c r="L1158" s="3">
        <v>13846.799000000001</v>
      </c>
      <c r="M1158" s="3">
        <v>12214.556</v>
      </c>
      <c r="N1158" s="3">
        <v>12214.556</v>
      </c>
      <c r="O1158" s="4">
        <v>5.5712999999999999</v>
      </c>
      <c r="P1158" s="4">
        <v>13.363099999999999</v>
      </c>
      <c r="Q1158" s="4">
        <v>0</v>
      </c>
      <c r="R1158" s="5">
        <v>7.1400000000000005E-2</v>
      </c>
      <c r="S1158">
        <v>24</v>
      </c>
      <c r="T1158" t="b">
        <v>0</v>
      </c>
      <c r="U1158">
        <v>21</v>
      </c>
      <c r="V1158" s="4">
        <v>24.19</v>
      </c>
    </row>
    <row r="1159" spans="1:22" x14ac:dyDescent="0.35">
      <c r="A1159" t="s">
        <v>21</v>
      </c>
      <c r="B1159">
        <v>1</v>
      </c>
      <c r="C1159">
        <v>2</v>
      </c>
      <c r="D1159">
        <v>5</v>
      </c>
      <c r="E1159" t="s">
        <v>29</v>
      </c>
      <c r="F1159">
        <v>50</v>
      </c>
      <c r="G1159">
        <v>3</v>
      </c>
      <c r="H1159">
        <v>16</v>
      </c>
      <c r="I1159" t="s">
        <v>23</v>
      </c>
      <c r="J1159" s="3">
        <v>68.430339000000004</v>
      </c>
      <c r="K1159" s="3">
        <v>12895.062</v>
      </c>
      <c r="L1159" s="3">
        <v>13846.799000000001</v>
      </c>
      <c r="M1159" s="3">
        <v>12214.556</v>
      </c>
      <c r="N1159" s="3">
        <v>12214.556</v>
      </c>
      <c r="O1159" s="4">
        <v>5.5712999999999999</v>
      </c>
      <c r="P1159" s="4">
        <v>13.363099999999999</v>
      </c>
      <c r="Q1159" s="4">
        <v>0</v>
      </c>
      <c r="R1159" s="5">
        <v>7.1400000000000005E-2</v>
      </c>
      <c r="S1159">
        <v>24</v>
      </c>
      <c r="T1159" t="b">
        <v>0</v>
      </c>
      <c r="U1159">
        <v>21</v>
      </c>
      <c r="V1159" s="4">
        <v>70.66</v>
      </c>
    </row>
    <row r="1160" spans="1:22" x14ac:dyDescent="0.35">
      <c r="A1160" t="s">
        <v>21</v>
      </c>
      <c r="B1160">
        <v>1</v>
      </c>
      <c r="C1160">
        <v>2</v>
      </c>
      <c r="D1160">
        <v>5</v>
      </c>
      <c r="E1160" t="s">
        <v>29</v>
      </c>
      <c r="F1160">
        <v>200</v>
      </c>
      <c r="G1160">
        <v>1</v>
      </c>
      <c r="H1160">
        <v>16</v>
      </c>
      <c r="I1160" t="s">
        <v>23</v>
      </c>
      <c r="J1160" s="3">
        <v>53.336652000000001</v>
      </c>
      <c r="K1160" s="3">
        <v>12214.556</v>
      </c>
      <c r="L1160" s="3">
        <v>13424.356</v>
      </c>
      <c r="M1160" s="3">
        <v>12214.556</v>
      </c>
      <c r="N1160" s="3">
        <v>12214.556</v>
      </c>
      <c r="O1160" s="4">
        <v>0</v>
      </c>
      <c r="P1160" s="4">
        <v>9.9046000000000003</v>
      </c>
      <c r="Q1160" s="4">
        <v>0</v>
      </c>
      <c r="R1160" s="5">
        <v>0.1547</v>
      </c>
      <c r="S1160">
        <v>24</v>
      </c>
      <c r="T1160" t="b">
        <v>0</v>
      </c>
      <c r="U1160">
        <v>11</v>
      </c>
      <c r="V1160" s="4">
        <v>68.88</v>
      </c>
    </row>
    <row r="1161" spans="1:22" x14ac:dyDescent="0.35">
      <c r="A1161" t="s">
        <v>21</v>
      </c>
      <c r="B1161">
        <v>1</v>
      </c>
      <c r="C1161">
        <v>2</v>
      </c>
      <c r="D1161">
        <v>5</v>
      </c>
      <c r="E1161" t="s">
        <v>29</v>
      </c>
      <c r="F1161">
        <v>200</v>
      </c>
      <c r="G1161">
        <v>3</v>
      </c>
      <c r="H1161">
        <v>16</v>
      </c>
      <c r="I1161" t="s">
        <v>23</v>
      </c>
      <c r="J1161" s="3">
        <v>53.336652000000001</v>
      </c>
      <c r="K1161" s="3">
        <v>12214.556</v>
      </c>
      <c r="L1161" s="3">
        <v>13424.356</v>
      </c>
      <c r="M1161" s="3">
        <v>12214.556</v>
      </c>
      <c r="N1161" s="3">
        <v>12214.556</v>
      </c>
      <c r="O1161" s="4">
        <v>0</v>
      </c>
      <c r="P1161" s="4">
        <v>9.9046000000000003</v>
      </c>
      <c r="Q1161" s="4">
        <v>0</v>
      </c>
      <c r="R1161" s="5">
        <v>0.1547</v>
      </c>
      <c r="S1161">
        <v>24</v>
      </c>
      <c r="T1161" t="b">
        <v>0</v>
      </c>
      <c r="U1161">
        <v>11</v>
      </c>
      <c r="V1161" s="4">
        <v>204.11</v>
      </c>
    </row>
    <row r="1162" spans="1:22" x14ac:dyDescent="0.35">
      <c r="A1162" t="s">
        <v>21</v>
      </c>
      <c r="B1162">
        <v>1</v>
      </c>
      <c r="C1162">
        <v>2</v>
      </c>
      <c r="D1162">
        <v>10</v>
      </c>
      <c r="E1162" t="s">
        <v>29</v>
      </c>
      <c r="F1162">
        <v>50</v>
      </c>
      <c r="G1162">
        <v>1</v>
      </c>
      <c r="H1162">
        <v>16</v>
      </c>
      <c r="I1162" t="s">
        <v>23</v>
      </c>
      <c r="J1162" s="3">
        <v>347.53542900000002</v>
      </c>
      <c r="K1162" s="3">
        <v>12895.062</v>
      </c>
      <c r="L1162" s="3">
        <v>12895.062</v>
      </c>
      <c r="M1162" s="3">
        <v>12214.556</v>
      </c>
      <c r="N1162" s="3">
        <v>12214.556</v>
      </c>
      <c r="O1162" s="4">
        <v>5.5712999999999999</v>
      </c>
      <c r="P1162" s="4">
        <v>5.5712999999999999</v>
      </c>
      <c r="Q1162" s="4">
        <v>0</v>
      </c>
      <c r="R1162" s="5">
        <v>2.1100000000000001E-2</v>
      </c>
      <c r="S1162">
        <v>24</v>
      </c>
      <c r="T1162" t="b">
        <v>0</v>
      </c>
      <c r="U1162">
        <v>14</v>
      </c>
      <c r="V1162" s="4">
        <v>32.22</v>
      </c>
    </row>
    <row r="1163" spans="1:22" x14ac:dyDescent="0.35">
      <c r="A1163" t="s">
        <v>21</v>
      </c>
      <c r="B1163">
        <v>1</v>
      </c>
      <c r="C1163">
        <v>2</v>
      </c>
      <c r="D1163">
        <v>10</v>
      </c>
      <c r="E1163" t="s">
        <v>29</v>
      </c>
      <c r="F1163">
        <v>50</v>
      </c>
      <c r="G1163">
        <v>3</v>
      </c>
      <c r="H1163">
        <v>16</v>
      </c>
      <c r="I1163" t="s">
        <v>23</v>
      </c>
      <c r="J1163" s="3">
        <v>169.53594200000001</v>
      </c>
      <c r="K1163" s="3">
        <v>12895.062</v>
      </c>
      <c r="L1163" s="3">
        <v>12895.062</v>
      </c>
      <c r="M1163" s="3">
        <v>12214.556</v>
      </c>
      <c r="N1163" s="3">
        <v>12214.556</v>
      </c>
      <c r="O1163" s="4">
        <v>5.5712999999999999</v>
      </c>
      <c r="P1163" s="4">
        <v>5.5712999999999999</v>
      </c>
      <c r="Q1163" s="4">
        <v>0</v>
      </c>
      <c r="R1163" s="5">
        <v>1.83E-2</v>
      </c>
      <c r="S1163">
        <v>24</v>
      </c>
      <c r="T1163" t="b">
        <v>0</v>
      </c>
      <c r="U1163">
        <v>19</v>
      </c>
      <c r="V1163" s="4">
        <v>86.47</v>
      </c>
    </row>
    <row r="1164" spans="1:22" x14ac:dyDescent="0.35">
      <c r="A1164" t="s">
        <v>21</v>
      </c>
      <c r="B1164">
        <v>1</v>
      </c>
      <c r="C1164">
        <v>2</v>
      </c>
      <c r="D1164">
        <v>10</v>
      </c>
      <c r="E1164" t="s">
        <v>29</v>
      </c>
      <c r="F1164">
        <v>200</v>
      </c>
      <c r="G1164">
        <v>1</v>
      </c>
      <c r="H1164">
        <v>16</v>
      </c>
      <c r="I1164" t="s">
        <v>23</v>
      </c>
      <c r="J1164" s="3">
        <v>159.185632</v>
      </c>
      <c r="K1164" s="3">
        <v>12214.556</v>
      </c>
      <c r="L1164" s="3">
        <v>13410.209000000001</v>
      </c>
      <c r="M1164" s="3">
        <v>12214.556</v>
      </c>
      <c r="N1164" s="3">
        <v>12214.556</v>
      </c>
      <c r="O1164" s="4">
        <v>0</v>
      </c>
      <c r="P1164" s="4">
        <v>9.7888000000000002</v>
      </c>
      <c r="Q1164" s="4">
        <v>0</v>
      </c>
      <c r="R1164" s="5">
        <v>2.2599999999999999E-2</v>
      </c>
      <c r="S1164">
        <v>24</v>
      </c>
      <c r="T1164" t="b">
        <v>0</v>
      </c>
      <c r="U1164">
        <v>11</v>
      </c>
      <c r="V1164" s="4">
        <v>81.31</v>
      </c>
    </row>
    <row r="1165" spans="1:22" x14ac:dyDescent="0.35">
      <c r="A1165" t="s">
        <v>21</v>
      </c>
      <c r="B1165">
        <v>1</v>
      </c>
      <c r="C1165">
        <v>2</v>
      </c>
      <c r="D1165">
        <v>10</v>
      </c>
      <c r="E1165" t="s">
        <v>29</v>
      </c>
      <c r="F1165">
        <v>200</v>
      </c>
      <c r="G1165">
        <v>3</v>
      </c>
      <c r="H1165">
        <v>16</v>
      </c>
      <c r="I1165" t="s">
        <v>23</v>
      </c>
      <c r="J1165" s="3">
        <v>157.57845699999999</v>
      </c>
      <c r="K1165" s="3">
        <v>12214.556</v>
      </c>
      <c r="L1165" s="3">
        <v>15056.599</v>
      </c>
      <c r="M1165" s="3">
        <v>12214.556</v>
      </c>
      <c r="N1165" s="3">
        <v>12214.556</v>
      </c>
      <c r="O1165" s="4">
        <v>0</v>
      </c>
      <c r="P1165" s="4">
        <v>23.267700000000001</v>
      </c>
      <c r="Q1165" s="4">
        <v>0</v>
      </c>
      <c r="R1165" s="5">
        <v>2.1999999999999999E-2</v>
      </c>
      <c r="S1165">
        <v>24</v>
      </c>
      <c r="T1165" t="b">
        <v>0</v>
      </c>
      <c r="U1165">
        <v>21</v>
      </c>
      <c r="V1165" s="4">
        <v>227.39</v>
      </c>
    </row>
    <row r="1166" spans="1:22" x14ac:dyDescent="0.35">
      <c r="A1166" t="s">
        <v>21</v>
      </c>
      <c r="B1166">
        <v>1</v>
      </c>
      <c r="C1166">
        <v>5</v>
      </c>
      <c r="D1166">
        <v>2</v>
      </c>
      <c r="E1166" t="s">
        <v>29</v>
      </c>
      <c r="F1166">
        <v>50</v>
      </c>
      <c r="G1166">
        <v>1</v>
      </c>
      <c r="H1166">
        <v>16</v>
      </c>
      <c r="I1166" t="s">
        <v>23</v>
      </c>
      <c r="J1166" s="3">
        <v>82.935188999999994</v>
      </c>
      <c r="K1166" s="3" t="s">
        <v>24</v>
      </c>
      <c r="L1166" s="3" t="s">
        <v>24</v>
      </c>
      <c r="M1166" s="3" t="s">
        <v>24</v>
      </c>
      <c r="N1166" s="3">
        <v>12214.556</v>
      </c>
      <c r="O1166" s="4"/>
      <c r="P1166" s="4"/>
      <c r="Q1166" s="4"/>
      <c r="R1166" s="5">
        <v>0</v>
      </c>
      <c r="S1166">
        <v>0</v>
      </c>
      <c r="T1166" t="b">
        <v>1</v>
      </c>
      <c r="U1166">
        <v>-1</v>
      </c>
      <c r="V1166" s="4">
        <v>34.71</v>
      </c>
    </row>
    <row r="1167" spans="1:22" x14ac:dyDescent="0.35">
      <c r="A1167" t="s">
        <v>21</v>
      </c>
      <c r="B1167">
        <v>1</v>
      </c>
      <c r="C1167">
        <v>5</v>
      </c>
      <c r="D1167">
        <v>2</v>
      </c>
      <c r="E1167" t="s">
        <v>29</v>
      </c>
      <c r="F1167">
        <v>50</v>
      </c>
      <c r="G1167">
        <v>3</v>
      </c>
      <c r="H1167">
        <v>16</v>
      </c>
      <c r="I1167" t="s">
        <v>23</v>
      </c>
      <c r="J1167" s="3">
        <v>82.935188999999994</v>
      </c>
      <c r="K1167" s="3" t="s">
        <v>24</v>
      </c>
      <c r="L1167" s="3" t="s">
        <v>24</v>
      </c>
      <c r="M1167" s="3" t="s">
        <v>24</v>
      </c>
      <c r="N1167" s="3">
        <v>12214.556</v>
      </c>
      <c r="O1167" s="4"/>
      <c r="P1167" s="4"/>
      <c r="Q1167" s="4"/>
      <c r="R1167" s="5">
        <v>0</v>
      </c>
      <c r="S1167">
        <v>0</v>
      </c>
      <c r="T1167" t="b">
        <v>1</v>
      </c>
      <c r="U1167">
        <v>-1</v>
      </c>
      <c r="V1167" s="4">
        <v>101.2</v>
      </c>
    </row>
    <row r="1168" spans="1:22" x14ac:dyDescent="0.35">
      <c r="A1168" t="s">
        <v>21</v>
      </c>
      <c r="B1168">
        <v>1</v>
      </c>
      <c r="C1168">
        <v>5</v>
      </c>
      <c r="D1168">
        <v>2</v>
      </c>
      <c r="E1168" t="s">
        <v>29</v>
      </c>
      <c r="F1168">
        <v>200</v>
      </c>
      <c r="G1168">
        <v>1</v>
      </c>
      <c r="H1168">
        <v>16</v>
      </c>
      <c r="I1168" t="s">
        <v>23</v>
      </c>
      <c r="J1168" s="3">
        <v>137.192714</v>
      </c>
      <c r="K1168" s="3">
        <v>12895.062</v>
      </c>
      <c r="L1168" s="3">
        <v>13410.209000000001</v>
      </c>
      <c r="M1168" s="3">
        <v>12895.062</v>
      </c>
      <c r="N1168" s="3">
        <v>12214.556</v>
      </c>
      <c r="O1168" s="4">
        <v>5.5712999999999999</v>
      </c>
      <c r="P1168" s="4">
        <v>9.7888000000000002</v>
      </c>
      <c r="Q1168" s="4">
        <v>5.5712999999999999</v>
      </c>
      <c r="R1168" s="5">
        <v>5.0000000000000001E-4</v>
      </c>
      <c r="S1168">
        <v>5</v>
      </c>
      <c r="T1168" t="b">
        <v>0</v>
      </c>
      <c r="U1168">
        <v>5</v>
      </c>
      <c r="V1168" s="4">
        <v>97.98</v>
      </c>
    </row>
    <row r="1169" spans="1:22" x14ac:dyDescent="0.35">
      <c r="A1169" t="s">
        <v>21</v>
      </c>
      <c r="B1169">
        <v>1</v>
      </c>
      <c r="C1169">
        <v>5</v>
      </c>
      <c r="D1169">
        <v>2</v>
      </c>
      <c r="E1169" t="s">
        <v>29</v>
      </c>
      <c r="F1169">
        <v>200</v>
      </c>
      <c r="G1169">
        <v>3</v>
      </c>
      <c r="H1169">
        <v>16</v>
      </c>
      <c r="I1169" t="s">
        <v>23</v>
      </c>
      <c r="J1169" s="3">
        <v>63.958683000000001</v>
      </c>
      <c r="K1169" s="3">
        <v>13028.438</v>
      </c>
      <c r="L1169" s="3">
        <v>14242.717000000001</v>
      </c>
      <c r="M1169" s="3">
        <v>12214.556</v>
      </c>
      <c r="N1169" s="3">
        <v>12214.556</v>
      </c>
      <c r="O1169" s="4">
        <v>6.6631999999999998</v>
      </c>
      <c r="P1169" s="4">
        <v>16.604500000000002</v>
      </c>
      <c r="Q1169" s="4">
        <v>0</v>
      </c>
      <c r="R1169" s="5">
        <v>1.6999999999999999E-3</v>
      </c>
      <c r="S1169">
        <v>13</v>
      </c>
      <c r="T1169" t="b">
        <v>0</v>
      </c>
      <c r="U1169">
        <v>11</v>
      </c>
      <c r="V1169" s="4">
        <v>292.89999999999998</v>
      </c>
    </row>
    <row r="1170" spans="1:22" x14ac:dyDescent="0.35">
      <c r="A1170" t="s">
        <v>21</v>
      </c>
      <c r="B1170">
        <v>1</v>
      </c>
      <c r="C1170">
        <v>5</v>
      </c>
      <c r="D1170">
        <v>5</v>
      </c>
      <c r="E1170" t="s">
        <v>29</v>
      </c>
      <c r="F1170">
        <v>50</v>
      </c>
      <c r="G1170">
        <v>1</v>
      </c>
      <c r="H1170">
        <v>16</v>
      </c>
      <c r="I1170" t="s">
        <v>23</v>
      </c>
      <c r="J1170" s="3">
        <v>332.90150399999999</v>
      </c>
      <c r="K1170" s="3">
        <v>12214.556</v>
      </c>
      <c r="L1170" s="3">
        <v>13028.438</v>
      </c>
      <c r="M1170" s="3">
        <v>12214.556</v>
      </c>
      <c r="N1170" s="3">
        <v>12214.556</v>
      </c>
      <c r="O1170" s="4">
        <v>0</v>
      </c>
      <c r="P1170" s="4">
        <v>6.6631999999999998</v>
      </c>
      <c r="Q1170" s="4">
        <v>0</v>
      </c>
      <c r="R1170" s="5">
        <v>2.9999999999999997E-4</v>
      </c>
      <c r="S1170">
        <v>3</v>
      </c>
      <c r="T1170" t="b">
        <v>0</v>
      </c>
      <c r="U1170">
        <v>2</v>
      </c>
      <c r="V1170" s="4">
        <v>33.26</v>
      </c>
    </row>
    <row r="1171" spans="1:22" x14ac:dyDescent="0.35">
      <c r="A1171" t="s">
        <v>21</v>
      </c>
      <c r="B1171">
        <v>1</v>
      </c>
      <c r="C1171">
        <v>5</v>
      </c>
      <c r="D1171">
        <v>5</v>
      </c>
      <c r="E1171" t="s">
        <v>29</v>
      </c>
      <c r="F1171">
        <v>50</v>
      </c>
      <c r="G1171">
        <v>3</v>
      </c>
      <c r="H1171">
        <v>16</v>
      </c>
      <c r="I1171" t="s">
        <v>23</v>
      </c>
      <c r="J1171" s="3">
        <v>168.77864700000001</v>
      </c>
      <c r="K1171" s="3">
        <v>12214.556</v>
      </c>
      <c r="L1171" s="3">
        <v>12214.556</v>
      </c>
      <c r="M1171" s="3">
        <v>12214.556</v>
      </c>
      <c r="N1171" s="3">
        <v>12214.556</v>
      </c>
      <c r="O1171" s="4">
        <v>0</v>
      </c>
      <c r="P1171" s="4">
        <v>0</v>
      </c>
      <c r="Q1171" s="4">
        <v>0</v>
      </c>
      <c r="R1171" s="5">
        <v>4.3E-3</v>
      </c>
      <c r="S1171">
        <v>18</v>
      </c>
      <c r="T1171" t="b">
        <v>0</v>
      </c>
      <c r="U1171">
        <v>17</v>
      </c>
      <c r="V1171" s="4">
        <v>98.07</v>
      </c>
    </row>
    <row r="1172" spans="1:22" x14ac:dyDescent="0.35">
      <c r="A1172" t="s">
        <v>21</v>
      </c>
      <c r="B1172">
        <v>1</v>
      </c>
      <c r="C1172">
        <v>5</v>
      </c>
      <c r="D1172">
        <v>5</v>
      </c>
      <c r="E1172" t="s">
        <v>29</v>
      </c>
      <c r="F1172">
        <v>200</v>
      </c>
      <c r="G1172">
        <v>1</v>
      </c>
      <c r="H1172">
        <v>16</v>
      </c>
      <c r="I1172" t="s">
        <v>23</v>
      </c>
      <c r="J1172" s="3">
        <v>314.00681600000001</v>
      </c>
      <c r="K1172" s="3">
        <v>12214.556</v>
      </c>
      <c r="L1172" s="3">
        <v>13424.356</v>
      </c>
      <c r="M1172" s="3">
        <v>12214.556</v>
      </c>
      <c r="N1172" s="3">
        <v>12214.556</v>
      </c>
      <c r="O1172" s="4">
        <v>0</v>
      </c>
      <c r="P1172" s="4">
        <v>9.9046000000000003</v>
      </c>
      <c r="Q1172" s="4">
        <v>0</v>
      </c>
      <c r="R1172" s="5">
        <v>1.3899999999999999E-2</v>
      </c>
      <c r="S1172">
        <v>24</v>
      </c>
      <c r="T1172" t="b">
        <v>0</v>
      </c>
      <c r="U1172">
        <v>10</v>
      </c>
      <c r="V1172" s="4">
        <v>105.18</v>
      </c>
    </row>
    <row r="1173" spans="1:22" x14ac:dyDescent="0.35">
      <c r="A1173" t="s">
        <v>21</v>
      </c>
      <c r="B1173">
        <v>1</v>
      </c>
      <c r="C1173">
        <v>5</v>
      </c>
      <c r="D1173">
        <v>5</v>
      </c>
      <c r="E1173" t="s">
        <v>29</v>
      </c>
      <c r="F1173">
        <v>200</v>
      </c>
      <c r="G1173">
        <v>3</v>
      </c>
      <c r="H1173">
        <v>16</v>
      </c>
      <c r="I1173" t="s">
        <v>23</v>
      </c>
      <c r="J1173" s="3">
        <v>81.284088999999994</v>
      </c>
      <c r="K1173" s="3">
        <v>12214.556</v>
      </c>
      <c r="L1173" s="3">
        <v>13424.356</v>
      </c>
      <c r="M1173" s="3">
        <v>12214.556</v>
      </c>
      <c r="N1173" s="3">
        <v>12214.556</v>
      </c>
      <c r="O1173" s="4">
        <v>0</v>
      </c>
      <c r="P1173" s="4">
        <v>9.9046000000000003</v>
      </c>
      <c r="Q1173" s="4">
        <v>0</v>
      </c>
      <c r="R1173" s="5">
        <v>6.9599999999999995E-2</v>
      </c>
      <c r="S1173">
        <v>24</v>
      </c>
      <c r="T1173" t="b">
        <v>0</v>
      </c>
      <c r="U1173">
        <v>6</v>
      </c>
      <c r="V1173" s="4">
        <v>332.9</v>
      </c>
    </row>
    <row r="1174" spans="1:22" x14ac:dyDescent="0.35">
      <c r="A1174" t="s">
        <v>21</v>
      </c>
      <c r="B1174">
        <v>1</v>
      </c>
      <c r="C1174">
        <v>5</v>
      </c>
      <c r="D1174">
        <v>10</v>
      </c>
      <c r="E1174" t="s">
        <v>29</v>
      </c>
      <c r="F1174">
        <v>50</v>
      </c>
      <c r="G1174">
        <v>1</v>
      </c>
      <c r="H1174">
        <v>16</v>
      </c>
      <c r="I1174" t="s">
        <v>23</v>
      </c>
      <c r="J1174" s="3">
        <v>656.89643699999999</v>
      </c>
      <c r="K1174" s="3">
        <v>12214.556</v>
      </c>
      <c r="L1174" s="3">
        <v>12214.556</v>
      </c>
      <c r="M1174" s="3">
        <v>12214.556</v>
      </c>
      <c r="N1174" s="3">
        <v>12214.556</v>
      </c>
      <c r="O1174" s="4">
        <v>0</v>
      </c>
      <c r="P1174" s="4">
        <v>0</v>
      </c>
      <c r="Q1174" s="4">
        <v>0</v>
      </c>
      <c r="R1174" s="5">
        <v>5.7999999999999996E-3</v>
      </c>
      <c r="S1174">
        <v>22</v>
      </c>
      <c r="T1174" t="b">
        <v>0</v>
      </c>
      <c r="U1174">
        <v>12</v>
      </c>
      <c r="V1174" s="4">
        <v>37.89</v>
      </c>
    </row>
    <row r="1175" spans="1:22" x14ac:dyDescent="0.35">
      <c r="A1175" t="s">
        <v>21</v>
      </c>
      <c r="B1175">
        <v>1</v>
      </c>
      <c r="C1175">
        <v>5</v>
      </c>
      <c r="D1175">
        <v>10</v>
      </c>
      <c r="E1175" t="s">
        <v>29</v>
      </c>
      <c r="F1175">
        <v>50</v>
      </c>
      <c r="G1175">
        <v>3</v>
      </c>
      <c r="H1175">
        <v>16</v>
      </c>
      <c r="I1175" t="s">
        <v>23</v>
      </c>
      <c r="J1175" s="3">
        <v>297.35917699999999</v>
      </c>
      <c r="K1175" s="3">
        <v>12214.556</v>
      </c>
      <c r="L1175" s="3">
        <v>13860.946</v>
      </c>
      <c r="M1175" s="3">
        <v>12214.556</v>
      </c>
      <c r="N1175" s="3">
        <v>12214.556</v>
      </c>
      <c r="O1175" s="4">
        <v>0</v>
      </c>
      <c r="P1175" s="4">
        <v>13.478899999999999</v>
      </c>
      <c r="Q1175" s="4">
        <v>0</v>
      </c>
      <c r="R1175" s="5">
        <v>3.56E-2</v>
      </c>
      <c r="S1175">
        <v>24</v>
      </c>
      <c r="T1175" t="b">
        <v>0</v>
      </c>
      <c r="U1175">
        <v>6</v>
      </c>
      <c r="V1175" s="4">
        <v>108.56</v>
      </c>
    </row>
    <row r="1176" spans="1:22" x14ac:dyDescent="0.35">
      <c r="A1176" t="s">
        <v>21</v>
      </c>
      <c r="B1176">
        <v>1</v>
      </c>
      <c r="C1176">
        <v>5</v>
      </c>
      <c r="D1176">
        <v>10</v>
      </c>
      <c r="E1176" t="s">
        <v>29</v>
      </c>
      <c r="F1176">
        <v>200</v>
      </c>
      <c r="G1176">
        <v>1</v>
      </c>
      <c r="H1176">
        <v>16</v>
      </c>
      <c r="I1176" t="s">
        <v>23</v>
      </c>
      <c r="J1176" s="3">
        <v>581.12780999999995</v>
      </c>
      <c r="K1176" s="3">
        <v>13028.438</v>
      </c>
      <c r="L1176" s="3">
        <v>14242.717000000001</v>
      </c>
      <c r="M1176" s="3">
        <v>12214.556</v>
      </c>
      <c r="N1176" s="3">
        <v>12214.556</v>
      </c>
      <c r="O1176" s="4">
        <v>6.6631999999999998</v>
      </c>
      <c r="P1176" s="4">
        <v>16.604500000000002</v>
      </c>
      <c r="Q1176" s="4">
        <v>0</v>
      </c>
      <c r="R1176" s="5">
        <v>2.6499999999999999E-2</v>
      </c>
      <c r="S1176">
        <v>24</v>
      </c>
      <c r="T1176" t="b">
        <v>0</v>
      </c>
      <c r="U1176">
        <v>16</v>
      </c>
      <c r="V1176" s="4">
        <v>124.95</v>
      </c>
    </row>
    <row r="1177" spans="1:22" x14ac:dyDescent="0.35">
      <c r="A1177" t="s">
        <v>21</v>
      </c>
      <c r="B1177">
        <v>1</v>
      </c>
      <c r="C1177">
        <v>5</v>
      </c>
      <c r="D1177">
        <v>10</v>
      </c>
      <c r="E1177" t="s">
        <v>29</v>
      </c>
      <c r="F1177">
        <v>200</v>
      </c>
      <c r="G1177">
        <v>3</v>
      </c>
      <c r="H1177">
        <v>16</v>
      </c>
      <c r="I1177" t="s">
        <v>23</v>
      </c>
      <c r="J1177" s="3">
        <v>308.62395600000002</v>
      </c>
      <c r="K1177" s="3">
        <v>12214.556</v>
      </c>
      <c r="L1177" s="3">
        <v>13846.799000000001</v>
      </c>
      <c r="M1177" s="3">
        <v>12214.556</v>
      </c>
      <c r="N1177" s="3">
        <v>12214.556</v>
      </c>
      <c r="O1177" s="4">
        <v>0</v>
      </c>
      <c r="P1177" s="4">
        <v>13.363099999999999</v>
      </c>
      <c r="Q1177" s="4">
        <v>0</v>
      </c>
      <c r="R1177" s="5">
        <v>1.1599999999999999E-2</v>
      </c>
      <c r="S1177">
        <v>24</v>
      </c>
      <c r="T1177" t="b">
        <v>0</v>
      </c>
      <c r="U1177">
        <v>16</v>
      </c>
      <c r="V1177" s="4">
        <v>361.89</v>
      </c>
    </row>
    <row r="1178" spans="1:22" x14ac:dyDescent="0.35">
      <c r="A1178" t="s">
        <v>21</v>
      </c>
      <c r="B1178">
        <v>2</v>
      </c>
      <c r="C1178">
        <v>2</v>
      </c>
      <c r="D1178">
        <v>2</v>
      </c>
      <c r="E1178" t="s">
        <v>29</v>
      </c>
      <c r="F1178">
        <v>50</v>
      </c>
      <c r="G1178">
        <v>1</v>
      </c>
      <c r="H1178">
        <v>20</v>
      </c>
      <c r="I1178" t="s">
        <v>26</v>
      </c>
      <c r="J1178" s="3">
        <v>148.118662</v>
      </c>
      <c r="K1178" s="3">
        <v>15809.708000000001</v>
      </c>
      <c r="L1178" s="3">
        <v>15809.708000000001</v>
      </c>
      <c r="M1178" s="3">
        <v>15809.708000000001</v>
      </c>
      <c r="N1178" s="3">
        <v>15143.349</v>
      </c>
      <c r="O1178" s="4">
        <v>4.4002999999999997</v>
      </c>
      <c r="P1178" s="4">
        <v>4.4002999999999997</v>
      </c>
      <c r="Q1178" s="4">
        <v>4.4002999999999997</v>
      </c>
      <c r="R1178" s="5">
        <v>1E-4</v>
      </c>
      <c r="S1178">
        <v>1</v>
      </c>
      <c r="T1178" t="b">
        <v>0</v>
      </c>
      <c r="U1178">
        <v>1</v>
      </c>
      <c r="V1178" s="4">
        <v>50.73</v>
      </c>
    </row>
    <row r="1179" spans="1:22" x14ac:dyDescent="0.35">
      <c r="A1179" t="s">
        <v>21</v>
      </c>
      <c r="B1179">
        <v>2</v>
      </c>
      <c r="C1179">
        <v>2</v>
      </c>
      <c r="D1179">
        <v>2</v>
      </c>
      <c r="E1179" t="s">
        <v>29</v>
      </c>
      <c r="F1179">
        <v>50</v>
      </c>
      <c r="G1179">
        <v>3</v>
      </c>
      <c r="H1179">
        <v>20</v>
      </c>
      <c r="I1179" t="s">
        <v>26</v>
      </c>
      <c r="J1179" s="3">
        <v>54.688433000000003</v>
      </c>
      <c r="K1179" s="3">
        <v>15413.79</v>
      </c>
      <c r="L1179" s="3">
        <v>16623.59</v>
      </c>
      <c r="M1179" s="3">
        <v>15143.349</v>
      </c>
      <c r="N1179" s="3">
        <v>15143.349</v>
      </c>
      <c r="O1179" s="4">
        <v>1.7859</v>
      </c>
      <c r="P1179" s="4">
        <v>9.7749000000000006</v>
      </c>
      <c r="Q1179" s="4">
        <v>0</v>
      </c>
      <c r="R1179" s="5">
        <v>3.8E-3</v>
      </c>
      <c r="S1179">
        <v>22</v>
      </c>
      <c r="T1179" t="b">
        <v>0</v>
      </c>
      <c r="U1179">
        <v>17</v>
      </c>
      <c r="V1179" s="4">
        <v>132.52000000000001</v>
      </c>
    </row>
    <row r="1180" spans="1:22" x14ac:dyDescent="0.35">
      <c r="A1180" t="s">
        <v>21</v>
      </c>
      <c r="B1180">
        <v>2</v>
      </c>
      <c r="C1180">
        <v>2</v>
      </c>
      <c r="D1180">
        <v>2</v>
      </c>
      <c r="E1180" t="s">
        <v>29</v>
      </c>
      <c r="F1180">
        <v>200</v>
      </c>
      <c r="G1180">
        <v>1</v>
      </c>
      <c r="H1180">
        <v>20</v>
      </c>
      <c r="I1180" t="s">
        <v>26</v>
      </c>
      <c r="J1180" s="3">
        <v>147.475705</v>
      </c>
      <c r="K1180" s="3" t="s">
        <v>24</v>
      </c>
      <c r="L1180" s="3" t="s">
        <v>24</v>
      </c>
      <c r="M1180" s="3" t="s">
        <v>24</v>
      </c>
      <c r="N1180" s="3">
        <v>15143.349</v>
      </c>
      <c r="O1180" s="4"/>
      <c r="P1180" s="4"/>
      <c r="Q1180" s="4"/>
      <c r="R1180" s="5">
        <v>0</v>
      </c>
      <c r="S1180">
        <v>0</v>
      </c>
      <c r="T1180" t="b">
        <v>1</v>
      </c>
      <c r="U1180">
        <v>-1</v>
      </c>
      <c r="V1180" s="4">
        <v>177.39</v>
      </c>
    </row>
    <row r="1181" spans="1:22" x14ac:dyDescent="0.35">
      <c r="A1181" t="s">
        <v>21</v>
      </c>
      <c r="B1181">
        <v>2</v>
      </c>
      <c r="C1181">
        <v>2</v>
      </c>
      <c r="D1181">
        <v>2</v>
      </c>
      <c r="E1181" t="s">
        <v>29</v>
      </c>
      <c r="F1181">
        <v>200</v>
      </c>
      <c r="G1181">
        <v>3</v>
      </c>
      <c r="H1181">
        <v>20</v>
      </c>
      <c r="I1181" t="s">
        <v>26</v>
      </c>
      <c r="J1181" s="3">
        <v>53.434325999999999</v>
      </c>
      <c r="K1181" s="3">
        <v>15143.349</v>
      </c>
      <c r="L1181" s="3">
        <v>15143.349</v>
      </c>
      <c r="M1181" s="3">
        <v>15143.349</v>
      </c>
      <c r="N1181" s="3">
        <v>15143.349</v>
      </c>
      <c r="O1181" s="4">
        <v>0</v>
      </c>
      <c r="P1181" s="4">
        <v>0</v>
      </c>
      <c r="Q1181" s="4">
        <v>0</v>
      </c>
      <c r="R1181" s="5">
        <v>2.8999999999999998E-3</v>
      </c>
      <c r="S1181">
        <v>19</v>
      </c>
      <c r="T1181" t="b">
        <v>0</v>
      </c>
      <c r="U1181">
        <v>1</v>
      </c>
      <c r="V1181" s="4">
        <v>384.46</v>
      </c>
    </row>
    <row r="1182" spans="1:22" x14ac:dyDescent="0.35">
      <c r="A1182" t="s">
        <v>21</v>
      </c>
      <c r="B1182">
        <v>2</v>
      </c>
      <c r="C1182">
        <v>2</v>
      </c>
      <c r="D1182">
        <v>5</v>
      </c>
      <c r="E1182" t="s">
        <v>29</v>
      </c>
      <c r="F1182">
        <v>50</v>
      </c>
      <c r="G1182">
        <v>1</v>
      </c>
      <c r="H1182">
        <v>20</v>
      </c>
      <c r="I1182" t="s">
        <v>26</v>
      </c>
      <c r="J1182" s="3">
        <v>361.017493</v>
      </c>
      <c r="K1182" s="3">
        <v>15427.937</v>
      </c>
      <c r="L1182" s="3">
        <v>15957.231</v>
      </c>
      <c r="M1182" s="3">
        <v>15427.937</v>
      </c>
      <c r="N1182" s="3">
        <v>15143.349</v>
      </c>
      <c r="O1182" s="4">
        <v>1.8793</v>
      </c>
      <c r="P1182" s="4">
        <v>5.3745000000000003</v>
      </c>
      <c r="Q1182" s="4">
        <v>1.8793</v>
      </c>
      <c r="R1182" s="5">
        <v>5.0000000000000001E-4</v>
      </c>
      <c r="S1182">
        <v>5</v>
      </c>
      <c r="T1182" t="b">
        <v>0</v>
      </c>
      <c r="U1182">
        <v>4</v>
      </c>
      <c r="V1182" s="4">
        <v>39.29</v>
      </c>
    </row>
    <row r="1183" spans="1:22" x14ac:dyDescent="0.35">
      <c r="A1183" t="s">
        <v>21</v>
      </c>
      <c r="B1183">
        <v>2</v>
      </c>
      <c r="C1183">
        <v>2</v>
      </c>
      <c r="D1183">
        <v>5</v>
      </c>
      <c r="E1183" t="s">
        <v>29</v>
      </c>
      <c r="F1183">
        <v>50</v>
      </c>
      <c r="G1183">
        <v>3</v>
      </c>
      <c r="H1183">
        <v>20</v>
      </c>
      <c r="I1183" t="s">
        <v>26</v>
      </c>
      <c r="J1183" s="3">
        <v>105.292478</v>
      </c>
      <c r="K1183" s="3">
        <v>15427.937</v>
      </c>
      <c r="L1183" s="3">
        <v>15809.708000000001</v>
      </c>
      <c r="M1183" s="3">
        <v>15143.349</v>
      </c>
      <c r="N1183" s="3">
        <v>15143.349</v>
      </c>
      <c r="O1183" s="4">
        <v>1.8793</v>
      </c>
      <c r="P1183" s="4">
        <v>4.4002999999999997</v>
      </c>
      <c r="Q1183" s="4">
        <v>0</v>
      </c>
      <c r="R1183" s="5">
        <v>9.1000000000000004E-3</v>
      </c>
      <c r="S1183">
        <v>35</v>
      </c>
      <c r="T1183" t="b">
        <v>0</v>
      </c>
      <c r="U1183">
        <v>18</v>
      </c>
      <c r="V1183" s="4">
        <v>134.68</v>
      </c>
    </row>
    <row r="1184" spans="1:22" x14ac:dyDescent="0.35">
      <c r="A1184" t="s">
        <v>21</v>
      </c>
      <c r="B1184">
        <v>2</v>
      </c>
      <c r="C1184">
        <v>2</v>
      </c>
      <c r="D1184">
        <v>5</v>
      </c>
      <c r="E1184" t="s">
        <v>29</v>
      </c>
      <c r="F1184">
        <v>200</v>
      </c>
      <c r="G1184">
        <v>1</v>
      </c>
      <c r="H1184">
        <v>20</v>
      </c>
      <c r="I1184" t="s">
        <v>26</v>
      </c>
      <c r="J1184" s="3">
        <v>321.94198</v>
      </c>
      <c r="K1184" s="3">
        <v>15427.937</v>
      </c>
      <c r="L1184" s="3">
        <v>15427.937</v>
      </c>
      <c r="M1184" s="3">
        <v>15427.937</v>
      </c>
      <c r="N1184" s="3">
        <v>15143.349</v>
      </c>
      <c r="O1184" s="4">
        <v>1.8793</v>
      </c>
      <c r="P1184" s="4">
        <v>1.8793</v>
      </c>
      <c r="Q1184" s="4">
        <v>1.8793</v>
      </c>
      <c r="R1184" s="5">
        <v>1E-4</v>
      </c>
      <c r="S1184">
        <v>1</v>
      </c>
      <c r="T1184" t="b">
        <v>0</v>
      </c>
      <c r="U1184">
        <v>1</v>
      </c>
      <c r="V1184" s="4">
        <v>136.83000000000001</v>
      </c>
    </row>
    <row r="1185" spans="1:22" x14ac:dyDescent="0.35">
      <c r="A1185" t="s">
        <v>21</v>
      </c>
      <c r="B1185">
        <v>2</v>
      </c>
      <c r="C1185">
        <v>2</v>
      </c>
      <c r="D1185">
        <v>5</v>
      </c>
      <c r="E1185" t="s">
        <v>29</v>
      </c>
      <c r="F1185">
        <v>200</v>
      </c>
      <c r="G1185">
        <v>3</v>
      </c>
      <c r="H1185">
        <v>20</v>
      </c>
      <c r="I1185" t="s">
        <v>26</v>
      </c>
      <c r="J1185" s="3">
        <v>123.594717</v>
      </c>
      <c r="K1185" s="3">
        <v>15143.349</v>
      </c>
      <c r="L1185" s="3">
        <v>17456.098000000002</v>
      </c>
      <c r="M1185" s="3">
        <v>15143.349</v>
      </c>
      <c r="N1185" s="3">
        <v>15143.349</v>
      </c>
      <c r="O1185" s="4">
        <v>0</v>
      </c>
      <c r="P1185" s="4">
        <v>15.272399999999999</v>
      </c>
      <c r="Q1185" s="4">
        <v>0</v>
      </c>
      <c r="R1185" s="5">
        <v>4.1000000000000003E-3</v>
      </c>
      <c r="S1185">
        <v>22</v>
      </c>
      <c r="T1185" t="b">
        <v>0</v>
      </c>
      <c r="U1185">
        <v>3</v>
      </c>
      <c r="V1185" s="4">
        <v>363.73</v>
      </c>
    </row>
    <row r="1186" spans="1:22" x14ac:dyDescent="0.35">
      <c r="A1186" t="s">
        <v>21</v>
      </c>
      <c r="B1186">
        <v>2</v>
      </c>
      <c r="C1186">
        <v>2</v>
      </c>
      <c r="D1186">
        <v>10</v>
      </c>
      <c r="E1186" t="s">
        <v>29</v>
      </c>
      <c r="F1186">
        <v>50</v>
      </c>
      <c r="G1186">
        <v>1</v>
      </c>
      <c r="H1186">
        <v>20</v>
      </c>
      <c r="I1186" t="s">
        <v>26</v>
      </c>
      <c r="J1186" s="3">
        <v>701.63258900000005</v>
      </c>
      <c r="K1186" s="3">
        <v>16094.296</v>
      </c>
      <c r="L1186" s="3">
        <v>16094.296</v>
      </c>
      <c r="M1186" s="3">
        <v>16094.296</v>
      </c>
      <c r="N1186" s="3">
        <v>15143.349</v>
      </c>
      <c r="O1186" s="4">
        <v>6.2796000000000003</v>
      </c>
      <c r="P1186" s="4">
        <v>6.2796000000000003</v>
      </c>
      <c r="Q1186" s="4">
        <v>6.2796000000000003</v>
      </c>
      <c r="R1186" s="5">
        <v>2.0000000000000001E-4</v>
      </c>
      <c r="S1186">
        <v>2</v>
      </c>
      <c r="T1186" t="b">
        <v>0</v>
      </c>
      <c r="U1186">
        <v>1</v>
      </c>
      <c r="V1186" s="4">
        <v>40.46</v>
      </c>
    </row>
    <row r="1187" spans="1:22" x14ac:dyDescent="0.35">
      <c r="A1187" t="s">
        <v>21</v>
      </c>
      <c r="B1187">
        <v>2</v>
      </c>
      <c r="C1187">
        <v>2</v>
      </c>
      <c r="D1187">
        <v>10</v>
      </c>
      <c r="E1187" t="s">
        <v>29</v>
      </c>
      <c r="F1187">
        <v>50</v>
      </c>
      <c r="G1187">
        <v>3</v>
      </c>
      <c r="H1187">
        <v>20</v>
      </c>
      <c r="I1187" t="s">
        <v>26</v>
      </c>
      <c r="J1187" s="3">
        <v>204.754211</v>
      </c>
      <c r="K1187" s="3">
        <v>15143.349</v>
      </c>
      <c r="L1187" s="3">
        <v>16775.592000000001</v>
      </c>
      <c r="M1187" s="3">
        <v>15143.349</v>
      </c>
      <c r="N1187" s="3">
        <v>15143.349</v>
      </c>
      <c r="O1187" s="4">
        <v>0</v>
      </c>
      <c r="P1187" s="4">
        <v>10.778600000000001</v>
      </c>
      <c r="Q1187" s="4">
        <v>0</v>
      </c>
      <c r="R1187" s="5">
        <v>7.6E-3</v>
      </c>
      <c r="S1187">
        <v>30</v>
      </c>
      <c r="T1187" t="b">
        <v>0</v>
      </c>
      <c r="U1187">
        <v>3</v>
      </c>
      <c r="V1187" s="4">
        <v>108.54</v>
      </c>
    </row>
    <row r="1188" spans="1:22" x14ac:dyDescent="0.35">
      <c r="A1188" t="s">
        <v>21</v>
      </c>
      <c r="B1188">
        <v>2</v>
      </c>
      <c r="C1188">
        <v>2</v>
      </c>
      <c r="D1188">
        <v>10</v>
      </c>
      <c r="E1188" t="s">
        <v>29</v>
      </c>
      <c r="F1188">
        <v>200</v>
      </c>
      <c r="G1188">
        <v>1</v>
      </c>
      <c r="H1188">
        <v>20</v>
      </c>
      <c r="I1188" t="s">
        <v>26</v>
      </c>
      <c r="J1188" s="3">
        <v>730.65749600000004</v>
      </c>
      <c r="K1188" s="3" t="s">
        <v>24</v>
      </c>
      <c r="L1188" s="3" t="s">
        <v>24</v>
      </c>
      <c r="M1188" s="3" t="s">
        <v>24</v>
      </c>
      <c r="N1188" s="3">
        <v>15143.349</v>
      </c>
      <c r="O1188" s="4"/>
      <c r="P1188" s="4"/>
      <c r="Q1188" s="4"/>
      <c r="R1188" s="5">
        <v>0</v>
      </c>
      <c r="S1188">
        <v>0</v>
      </c>
      <c r="T1188" t="b">
        <v>1</v>
      </c>
      <c r="U1188">
        <v>-1</v>
      </c>
      <c r="V1188" s="4">
        <v>108.67</v>
      </c>
    </row>
    <row r="1189" spans="1:22" x14ac:dyDescent="0.35">
      <c r="A1189" t="s">
        <v>21</v>
      </c>
      <c r="B1189">
        <v>2</v>
      </c>
      <c r="C1189">
        <v>2</v>
      </c>
      <c r="D1189">
        <v>10</v>
      </c>
      <c r="E1189" t="s">
        <v>29</v>
      </c>
      <c r="F1189">
        <v>200</v>
      </c>
      <c r="G1189">
        <v>3</v>
      </c>
      <c r="H1189">
        <v>20</v>
      </c>
      <c r="I1189" t="s">
        <v>26</v>
      </c>
      <c r="J1189" s="3">
        <v>243.30468500000001</v>
      </c>
      <c r="K1189" s="3" t="s">
        <v>24</v>
      </c>
      <c r="L1189" s="3" t="s">
        <v>24</v>
      </c>
      <c r="M1189" s="3" t="s">
        <v>24</v>
      </c>
      <c r="N1189" s="3">
        <v>15143.349</v>
      </c>
      <c r="O1189" s="4"/>
      <c r="P1189" s="4"/>
      <c r="Q1189" s="4"/>
      <c r="R1189" s="5">
        <v>0</v>
      </c>
      <c r="S1189">
        <v>0</v>
      </c>
      <c r="T1189" t="b">
        <v>1</v>
      </c>
      <c r="U1189">
        <v>-1</v>
      </c>
      <c r="V1189" s="4">
        <v>311.89999999999998</v>
      </c>
    </row>
    <row r="1190" spans="1:22" x14ac:dyDescent="0.35">
      <c r="A1190" t="s">
        <v>21</v>
      </c>
      <c r="B1190">
        <v>2</v>
      </c>
      <c r="C1190">
        <v>5</v>
      </c>
      <c r="D1190">
        <v>2</v>
      </c>
      <c r="E1190" t="s">
        <v>29</v>
      </c>
      <c r="F1190">
        <v>50</v>
      </c>
      <c r="G1190">
        <v>1</v>
      </c>
      <c r="H1190">
        <v>20</v>
      </c>
      <c r="I1190" t="s">
        <v>26</v>
      </c>
      <c r="J1190" s="3">
        <v>151.31341</v>
      </c>
      <c r="K1190" s="3" t="s">
        <v>24</v>
      </c>
      <c r="L1190" s="3" t="s">
        <v>24</v>
      </c>
      <c r="M1190" s="3" t="s">
        <v>24</v>
      </c>
      <c r="N1190" s="3">
        <v>15143.349</v>
      </c>
      <c r="O1190" s="4"/>
      <c r="P1190" s="4"/>
      <c r="Q1190" s="4"/>
      <c r="R1190" s="5">
        <v>0</v>
      </c>
      <c r="S1190">
        <v>0</v>
      </c>
      <c r="T1190" t="b">
        <v>1</v>
      </c>
      <c r="U1190">
        <v>-1</v>
      </c>
      <c r="V1190" s="4">
        <v>59.56</v>
      </c>
    </row>
    <row r="1191" spans="1:22" x14ac:dyDescent="0.35">
      <c r="A1191" t="s">
        <v>21</v>
      </c>
      <c r="B1191">
        <v>2</v>
      </c>
      <c r="C1191">
        <v>5</v>
      </c>
      <c r="D1191">
        <v>2</v>
      </c>
      <c r="E1191" t="s">
        <v>29</v>
      </c>
      <c r="F1191">
        <v>50</v>
      </c>
      <c r="G1191">
        <v>3</v>
      </c>
      <c r="H1191">
        <v>20</v>
      </c>
      <c r="I1191" t="s">
        <v>26</v>
      </c>
      <c r="J1191" s="3">
        <v>129.20597900000001</v>
      </c>
      <c r="K1191" s="3">
        <v>16775.592000000001</v>
      </c>
      <c r="L1191" s="3">
        <v>16775.592000000001</v>
      </c>
      <c r="M1191" s="3">
        <v>16775.592000000001</v>
      </c>
      <c r="N1191" s="3">
        <v>15143.349</v>
      </c>
      <c r="O1191" s="4">
        <v>10.778600000000001</v>
      </c>
      <c r="P1191" s="4">
        <v>10.778600000000001</v>
      </c>
      <c r="Q1191" s="4">
        <v>10.778600000000001</v>
      </c>
      <c r="R1191" s="5">
        <v>1E-4</v>
      </c>
      <c r="S1191">
        <v>1</v>
      </c>
      <c r="T1191" t="b">
        <v>0</v>
      </c>
      <c r="U1191">
        <v>1</v>
      </c>
      <c r="V1191" s="4">
        <v>178.28</v>
      </c>
    </row>
    <row r="1192" spans="1:22" x14ac:dyDescent="0.35">
      <c r="A1192" t="s">
        <v>21</v>
      </c>
      <c r="B1192">
        <v>2</v>
      </c>
      <c r="C1192">
        <v>5</v>
      </c>
      <c r="D1192">
        <v>2</v>
      </c>
      <c r="E1192" t="s">
        <v>29</v>
      </c>
      <c r="F1192">
        <v>200</v>
      </c>
      <c r="G1192">
        <v>1</v>
      </c>
      <c r="H1192">
        <v>20</v>
      </c>
      <c r="I1192" t="s">
        <v>26</v>
      </c>
      <c r="J1192" s="3">
        <v>154.968557</v>
      </c>
      <c r="K1192" s="3" t="s">
        <v>24</v>
      </c>
      <c r="L1192" s="3" t="s">
        <v>24</v>
      </c>
      <c r="M1192" s="3" t="s">
        <v>24</v>
      </c>
      <c r="N1192" s="3">
        <v>15143.349</v>
      </c>
      <c r="O1192" s="4"/>
      <c r="P1192" s="4"/>
      <c r="Q1192" s="4"/>
      <c r="R1192" s="5">
        <v>0</v>
      </c>
      <c r="S1192">
        <v>0</v>
      </c>
      <c r="T1192" t="b">
        <v>1</v>
      </c>
      <c r="U1192">
        <v>-1</v>
      </c>
      <c r="V1192" s="4">
        <v>182.68</v>
      </c>
    </row>
    <row r="1193" spans="1:22" x14ac:dyDescent="0.35">
      <c r="A1193" t="s">
        <v>21</v>
      </c>
      <c r="B1193">
        <v>2</v>
      </c>
      <c r="C1193">
        <v>5</v>
      </c>
      <c r="D1193">
        <v>2</v>
      </c>
      <c r="E1193" t="s">
        <v>29</v>
      </c>
      <c r="F1193">
        <v>200</v>
      </c>
      <c r="G1193">
        <v>3</v>
      </c>
      <c r="H1193">
        <v>20</v>
      </c>
      <c r="I1193" t="s">
        <v>26</v>
      </c>
      <c r="J1193" s="3">
        <v>29.727184000000001</v>
      </c>
      <c r="K1193" s="3">
        <v>15427.937</v>
      </c>
      <c r="L1193" s="3">
        <v>17060.18</v>
      </c>
      <c r="M1193" s="3">
        <v>15143.349</v>
      </c>
      <c r="N1193" s="3">
        <v>15143.349</v>
      </c>
      <c r="O1193" s="4">
        <v>1.8793</v>
      </c>
      <c r="P1193" s="4">
        <v>12.6579</v>
      </c>
      <c r="Q1193" s="4">
        <v>0</v>
      </c>
      <c r="R1193" s="5">
        <v>9.5899999999999999E-2</v>
      </c>
      <c r="S1193">
        <v>36</v>
      </c>
      <c r="T1193" t="b">
        <v>0</v>
      </c>
      <c r="U1193">
        <v>24</v>
      </c>
      <c r="V1193" s="4">
        <v>643.66</v>
      </c>
    </row>
    <row r="1194" spans="1:22" x14ac:dyDescent="0.35">
      <c r="A1194" t="s">
        <v>21</v>
      </c>
      <c r="B1194">
        <v>2</v>
      </c>
      <c r="C1194">
        <v>5</v>
      </c>
      <c r="D1194">
        <v>5</v>
      </c>
      <c r="E1194" t="s">
        <v>29</v>
      </c>
      <c r="F1194">
        <v>50</v>
      </c>
      <c r="G1194">
        <v>1</v>
      </c>
      <c r="H1194">
        <v>20</v>
      </c>
      <c r="I1194" t="s">
        <v>26</v>
      </c>
      <c r="J1194" s="3">
        <v>363.46135399999997</v>
      </c>
      <c r="K1194" s="3">
        <v>15427.937</v>
      </c>
      <c r="L1194" s="3">
        <v>15823.855</v>
      </c>
      <c r="M1194" s="3">
        <v>15427.937</v>
      </c>
      <c r="N1194" s="3">
        <v>15143.349</v>
      </c>
      <c r="O1194" s="4">
        <v>1.8793</v>
      </c>
      <c r="P1194" s="4">
        <v>4.4938000000000002</v>
      </c>
      <c r="Q1194" s="4">
        <v>1.8793</v>
      </c>
      <c r="R1194" s="5">
        <v>2.0000000000000001E-4</v>
      </c>
      <c r="S1194">
        <v>2</v>
      </c>
      <c r="T1194" t="b">
        <v>0</v>
      </c>
      <c r="U1194">
        <v>2</v>
      </c>
      <c r="V1194" s="4">
        <v>78.69</v>
      </c>
    </row>
    <row r="1195" spans="1:22" x14ac:dyDescent="0.35">
      <c r="A1195" t="s">
        <v>21</v>
      </c>
      <c r="B1195">
        <v>2</v>
      </c>
      <c r="C1195">
        <v>5</v>
      </c>
      <c r="D1195">
        <v>5</v>
      </c>
      <c r="E1195" t="s">
        <v>29</v>
      </c>
      <c r="F1195">
        <v>50</v>
      </c>
      <c r="G1195">
        <v>3</v>
      </c>
      <c r="H1195">
        <v>20</v>
      </c>
      <c r="I1195" t="s">
        <v>26</v>
      </c>
      <c r="J1195" s="3">
        <v>350.54395</v>
      </c>
      <c r="K1195" s="3" t="s">
        <v>24</v>
      </c>
      <c r="L1195" s="3" t="s">
        <v>24</v>
      </c>
      <c r="M1195" s="3" t="s">
        <v>24</v>
      </c>
      <c r="N1195" s="3">
        <v>15143.349</v>
      </c>
      <c r="O1195" s="4"/>
      <c r="P1195" s="4"/>
      <c r="Q1195" s="4"/>
      <c r="R1195" s="5">
        <v>0</v>
      </c>
      <c r="S1195">
        <v>0</v>
      </c>
      <c r="T1195" t="b">
        <v>1</v>
      </c>
      <c r="U1195">
        <v>-1</v>
      </c>
      <c r="V1195" s="4">
        <v>215.1</v>
      </c>
    </row>
    <row r="1196" spans="1:22" x14ac:dyDescent="0.35">
      <c r="A1196" t="s">
        <v>21</v>
      </c>
      <c r="B1196">
        <v>2</v>
      </c>
      <c r="C1196">
        <v>5</v>
      </c>
      <c r="D1196">
        <v>5</v>
      </c>
      <c r="E1196" t="s">
        <v>29</v>
      </c>
      <c r="F1196">
        <v>200</v>
      </c>
      <c r="G1196">
        <v>1</v>
      </c>
      <c r="H1196">
        <v>20</v>
      </c>
      <c r="I1196" t="s">
        <v>26</v>
      </c>
      <c r="J1196" s="3">
        <v>372.04138499999999</v>
      </c>
      <c r="K1196" s="3" t="s">
        <v>24</v>
      </c>
      <c r="L1196" s="3" t="s">
        <v>24</v>
      </c>
      <c r="M1196" s="3" t="s">
        <v>24</v>
      </c>
      <c r="N1196" s="3">
        <v>15143.349</v>
      </c>
      <c r="O1196" s="4"/>
      <c r="P1196" s="4"/>
      <c r="Q1196" s="4"/>
      <c r="R1196" s="5">
        <v>0</v>
      </c>
      <c r="S1196">
        <v>0</v>
      </c>
      <c r="T1196" t="b">
        <v>1</v>
      </c>
      <c r="U1196">
        <v>-1</v>
      </c>
      <c r="V1196" s="4">
        <v>209.52</v>
      </c>
    </row>
    <row r="1197" spans="1:22" x14ac:dyDescent="0.35">
      <c r="A1197" t="s">
        <v>21</v>
      </c>
      <c r="B1197">
        <v>2</v>
      </c>
      <c r="C1197">
        <v>5</v>
      </c>
      <c r="D1197">
        <v>5</v>
      </c>
      <c r="E1197" t="s">
        <v>29</v>
      </c>
      <c r="F1197">
        <v>200</v>
      </c>
      <c r="G1197">
        <v>3</v>
      </c>
      <c r="H1197">
        <v>20</v>
      </c>
      <c r="I1197" t="s">
        <v>26</v>
      </c>
      <c r="J1197" s="3">
        <v>214.20568800000001</v>
      </c>
      <c r="K1197" s="3">
        <v>15943.084000000001</v>
      </c>
      <c r="L1197" s="3">
        <v>16789.739000000001</v>
      </c>
      <c r="M1197" s="3">
        <v>15943.084000000001</v>
      </c>
      <c r="N1197" s="3">
        <v>15143.349</v>
      </c>
      <c r="O1197" s="4">
        <v>5.2811000000000003</v>
      </c>
      <c r="P1197" s="4">
        <v>10.872</v>
      </c>
      <c r="Q1197" s="4">
        <v>5.2811000000000003</v>
      </c>
      <c r="R1197" s="5">
        <v>2.9999999999999997E-4</v>
      </c>
      <c r="S1197">
        <v>3</v>
      </c>
      <c r="T1197" t="b">
        <v>0</v>
      </c>
      <c r="U1197">
        <v>2</v>
      </c>
      <c r="V1197" s="4">
        <v>628.16999999999996</v>
      </c>
    </row>
    <row r="1198" spans="1:22" x14ac:dyDescent="0.35">
      <c r="A1198" t="s">
        <v>21</v>
      </c>
      <c r="B1198">
        <v>2</v>
      </c>
      <c r="C1198">
        <v>5</v>
      </c>
      <c r="D1198">
        <v>10</v>
      </c>
      <c r="E1198" t="s">
        <v>29</v>
      </c>
      <c r="F1198">
        <v>50</v>
      </c>
      <c r="G1198">
        <v>1</v>
      </c>
      <c r="H1198">
        <v>20</v>
      </c>
      <c r="I1198" t="s">
        <v>26</v>
      </c>
      <c r="J1198" s="3">
        <v>833.80288499999995</v>
      </c>
      <c r="K1198" s="3">
        <v>16775.592000000001</v>
      </c>
      <c r="L1198" s="3">
        <v>16775.592000000001</v>
      </c>
      <c r="M1198" s="3">
        <v>16775.592000000001</v>
      </c>
      <c r="N1198" s="3">
        <v>15143.349</v>
      </c>
      <c r="O1198" s="4">
        <v>10.778600000000001</v>
      </c>
      <c r="P1198" s="4">
        <v>10.778600000000001</v>
      </c>
      <c r="Q1198" s="4">
        <v>10.778600000000001</v>
      </c>
      <c r="R1198" s="5">
        <v>1E-4</v>
      </c>
      <c r="S1198">
        <v>1</v>
      </c>
      <c r="T1198" t="b">
        <v>0</v>
      </c>
      <c r="U1198">
        <v>1</v>
      </c>
      <c r="V1198" s="4">
        <v>68.16</v>
      </c>
    </row>
    <row r="1199" spans="1:22" x14ac:dyDescent="0.35">
      <c r="A1199" t="s">
        <v>21</v>
      </c>
      <c r="B1199">
        <v>2</v>
      </c>
      <c r="C1199">
        <v>5</v>
      </c>
      <c r="D1199">
        <v>10</v>
      </c>
      <c r="E1199" t="s">
        <v>29</v>
      </c>
      <c r="F1199">
        <v>50</v>
      </c>
      <c r="G1199">
        <v>3</v>
      </c>
      <c r="H1199">
        <v>20</v>
      </c>
      <c r="I1199" t="s">
        <v>26</v>
      </c>
      <c r="J1199" s="3">
        <v>721.42248400000005</v>
      </c>
      <c r="K1199" s="3">
        <v>15413.79</v>
      </c>
      <c r="L1199" s="3">
        <v>15413.79</v>
      </c>
      <c r="M1199" s="3">
        <v>15413.79</v>
      </c>
      <c r="N1199" s="3">
        <v>15143.349</v>
      </c>
      <c r="O1199" s="4">
        <v>1.7859</v>
      </c>
      <c r="P1199" s="4">
        <v>1.7859</v>
      </c>
      <c r="Q1199" s="4">
        <v>1.7859</v>
      </c>
      <c r="R1199" s="5">
        <v>1E-4</v>
      </c>
      <c r="S1199">
        <v>1</v>
      </c>
      <c r="T1199" t="b">
        <v>0</v>
      </c>
      <c r="U1199">
        <v>1</v>
      </c>
      <c r="V1199" s="4">
        <v>195.63</v>
      </c>
    </row>
    <row r="1200" spans="1:22" x14ac:dyDescent="0.35">
      <c r="A1200" t="s">
        <v>21</v>
      </c>
      <c r="B1200">
        <v>2</v>
      </c>
      <c r="C1200">
        <v>5</v>
      </c>
      <c r="D1200">
        <v>10</v>
      </c>
      <c r="E1200" t="s">
        <v>29</v>
      </c>
      <c r="F1200">
        <v>200</v>
      </c>
      <c r="G1200">
        <v>1</v>
      </c>
      <c r="H1200">
        <v>20</v>
      </c>
      <c r="I1200" t="s">
        <v>26</v>
      </c>
      <c r="J1200" s="3">
        <v>750.36431300000004</v>
      </c>
      <c r="K1200" s="3" t="s">
        <v>24</v>
      </c>
      <c r="L1200" s="3" t="s">
        <v>24</v>
      </c>
      <c r="M1200" s="3" t="s">
        <v>24</v>
      </c>
      <c r="N1200" s="3">
        <v>15143.349</v>
      </c>
      <c r="O1200" s="4"/>
      <c r="P1200" s="4"/>
      <c r="Q1200" s="4"/>
      <c r="R1200" s="5">
        <v>0</v>
      </c>
      <c r="S1200">
        <v>0</v>
      </c>
      <c r="T1200" t="b">
        <v>1</v>
      </c>
      <c r="U1200">
        <v>-1</v>
      </c>
      <c r="V1200" s="4">
        <v>213.02</v>
      </c>
    </row>
    <row r="1201" spans="1:22" x14ac:dyDescent="0.35">
      <c r="A1201" t="s">
        <v>21</v>
      </c>
      <c r="B1201">
        <v>2</v>
      </c>
      <c r="C1201">
        <v>5</v>
      </c>
      <c r="D1201">
        <v>10</v>
      </c>
      <c r="E1201" t="s">
        <v>29</v>
      </c>
      <c r="F1201">
        <v>200</v>
      </c>
      <c r="G1201">
        <v>3</v>
      </c>
      <c r="H1201">
        <v>20</v>
      </c>
      <c r="I1201" t="s">
        <v>26</v>
      </c>
      <c r="J1201" s="3">
        <v>147.01381499999999</v>
      </c>
      <c r="K1201" s="3">
        <v>15413.79</v>
      </c>
      <c r="L1201" s="3">
        <v>15957.231</v>
      </c>
      <c r="M1201" s="3">
        <v>15143.349</v>
      </c>
      <c r="N1201" s="3">
        <v>15143.349</v>
      </c>
      <c r="O1201" s="4">
        <v>1.7859</v>
      </c>
      <c r="P1201" s="4">
        <v>5.3745000000000003</v>
      </c>
      <c r="Q1201" s="4">
        <v>0</v>
      </c>
      <c r="R1201" s="5">
        <v>5.91E-2</v>
      </c>
      <c r="S1201">
        <v>36</v>
      </c>
      <c r="T1201" t="b">
        <v>0</v>
      </c>
      <c r="U1201">
        <v>26</v>
      </c>
      <c r="V1201" s="4">
        <v>591.74</v>
      </c>
    </row>
    <row r="1202" spans="1:22" x14ac:dyDescent="0.35">
      <c r="A1202" t="s">
        <v>21</v>
      </c>
      <c r="B1202">
        <v>3</v>
      </c>
      <c r="C1202">
        <v>2</v>
      </c>
      <c r="D1202">
        <v>2</v>
      </c>
      <c r="E1202" t="s">
        <v>29</v>
      </c>
      <c r="F1202">
        <v>50</v>
      </c>
      <c r="G1202">
        <v>1</v>
      </c>
      <c r="H1202">
        <v>20</v>
      </c>
      <c r="I1202" t="s">
        <v>26</v>
      </c>
      <c r="J1202" s="3">
        <v>165.966005</v>
      </c>
      <c r="K1202" s="3" t="s">
        <v>24</v>
      </c>
      <c r="L1202" s="3" t="s">
        <v>24</v>
      </c>
      <c r="M1202" s="3" t="s">
        <v>24</v>
      </c>
      <c r="N1202" s="3">
        <v>18342.582999999999</v>
      </c>
      <c r="O1202" s="4"/>
      <c r="P1202" s="4"/>
      <c r="Q1202" s="4"/>
      <c r="R1202" s="5">
        <v>0</v>
      </c>
      <c r="S1202">
        <v>0</v>
      </c>
      <c r="T1202" t="b">
        <v>1</v>
      </c>
      <c r="U1202">
        <v>-1</v>
      </c>
      <c r="V1202" s="4">
        <v>37.15</v>
      </c>
    </row>
    <row r="1203" spans="1:22" x14ac:dyDescent="0.35">
      <c r="A1203" t="s">
        <v>21</v>
      </c>
      <c r="B1203">
        <v>3</v>
      </c>
      <c r="C1203">
        <v>2</v>
      </c>
      <c r="D1203">
        <v>2</v>
      </c>
      <c r="E1203" t="s">
        <v>29</v>
      </c>
      <c r="F1203">
        <v>50</v>
      </c>
      <c r="G1203">
        <v>3</v>
      </c>
      <c r="H1203">
        <v>20</v>
      </c>
      <c r="I1203" t="s">
        <v>26</v>
      </c>
      <c r="J1203" s="3">
        <v>34.220199999999998</v>
      </c>
      <c r="K1203" s="3">
        <v>18342.582999999999</v>
      </c>
      <c r="L1203" s="3">
        <v>19988.973000000002</v>
      </c>
      <c r="M1203" s="3">
        <v>18342.582999999999</v>
      </c>
      <c r="N1203" s="3">
        <v>18342.582999999999</v>
      </c>
      <c r="O1203" s="4">
        <v>0</v>
      </c>
      <c r="P1203" s="4">
        <v>8.9757999999999996</v>
      </c>
      <c r="Q1203" s="4">
        <v>0</v>
      </c>
      <c r="R1203" s="5">
        <v>5.0599999999999999E-2</v>
      </c>
      <c r="S1203">
        <v>12</v>
      </c>
      <c r="T1203" t="b">
        <v>0</v>
      </c>
      <c r="U1203">
        <v>9</v>
      </c>
      <c r="V1203" s="4">
        <v>109</v>
      </c>
    </row>
    <row r="1204" spans="1:22" x14ac:dyDescent="0.35">
      <c r="A1204" t="s">
        <v>21</v>
      </c>
      <c r="B1204">
        <v>3</v>
      </c>
      <c r="C1204">
        <v>2</v>
      </c>
      <c r="D1204">
        <v>2</v>
      </c>
      <c r="E1204" t="s">
        <v>29</v>
      </c>
      <c r="F1204">
        <v>200</v>
      </c>
      <c r="G1204">
        <v>1</v>
      </c>
      <c r="H1204">
        <v>20</v>
      </c>
      <c r="I1204" t="s">
        <v>26</v>
      </c>
      <c r="J1204" s="3">
        <v>169.87879100000001</v>
      </c>
      <c r="K1204" s="3" t="s">
        <v>24</v>
      </c>
      <c r="L1204" s="3" t="s">
        <v>24</v>
      </c>
      <c r="M1204" s="3" t="s">
        <v>24</v>
      </c>
      <c r="N1204" s="3">
        <v>18342.582999999999</v>
      </c>
      <c r="O1204" s="4"/>
      <c r="P1204" s="4"/>
      <c r="Q1204" s="4"/>
      <c r="R1204" s="5">
        <v>0</v>
      </c>
      <c r="S1204">
        <v>0</v>
      </c>
      <c r="T1204" t="b">
        <v>1</v>
      </c>
      <c r="U1204">
        <v>-1</v>
      </c>
      <c r="V1204" s="4">
        <v>109.81</v>
      </c>
    </row>
    <row r="1205" spans="1:22" x14ac:dyDescent="0.35">
      <c r="A1205" t="s">
        <v>21</v>
      </c>
      <c r="B1205">
        <v>3</v>
      </c>
      <c r="C1205">
        <v>2</v>
      </c>
      <c r="D1205">
        <v>2</v>
      </c>
      <c r="E1205" t="s">
        <v>29</v>
      </c>
      <c r="F1205">
        <v>200</v>
      </c>
      <c r="G1205">
        <v>3</v>
      </c>
      <c r="H1205">
        <v>20</v>
      </c>
      <c r="I1205" t="s">
        <v>26</v>
      </c>
      <c r="J1205" s="3">
        <v>67.517048000000003</v>
      </c>
      <c r="K1205" s="3">
        <v>18342.582999999999</v>
      </c>
      <c r="L1205" s="3">
        <v>18342.582999999999</v>
      </c>
      <c r="M1205" s="3">
        <v>18342.582999999999</v>
      </c>
      <c r="N1205" s="3">
        <v>18342.582999999999</v>
      </c>
      <c r="O1205" s="4">
        <v>0</v>
      </c>
      <c r="P1205" s="4">
        <v>0</v>
      </c>
      <c r="Q1205" s="4">
        <v>0</v>
      </c>
      <c r="R1205" s="5">
        <v>2.5000000000000001E-3</v>
      </c>
      <c r="S1205">
        <v>11</v>
      </c>
      <c r="T1205" t="b">
        <v>0</v>
      </c>
      <c r="U1205">
        <v>1</v>
      </c>
      <c r="V1205" s="4">
        <v>321.08</v>
      </c>
    </row>
    <row r="1206" spans="1:22" x14ac:dyDescent="0.35">
      <c r="A1206" t="s">
        <v>21</v>
      </c>
      <c r="B1206">
        <v>3</v>
      </c>
      <c r="C1206">
        <v>2</v>
      </c>
      <c r="D1206">
        <v>5</v>
      </c>
      <c r="E1206" t="s">
        <v>29</v>
      </c>
      <c r="F1206">
        <v>50</v>
      </c>
      <c r="G1206">
        <v>1</v>
      </c>
      <c r="H1206">
        <v>20</v>
      </c>
      <c r="I1206" t="s">
        <v>26</v>
      </c>
      <c r="J1206" s="3">
        <v>403.53220399999998</v>
      </c>
      <c r="K1206" s="3" t="s">
        <v>24</v>
      </c>
      <c r="L1206" s="3" t="s">
        <v>24</v>
      </c>
      <c r="M1206" s="3" t="s">
        <v>24</v>
      </c>
      <c r="N1206" s="3">
        <v>18342.582999999999</v>
      </c>
      <c r="O1206" s="4"/>
      <c r="P1206" s="4"/>
      <c r="Q1206" s="4"/>
      <c r="R1206" s="5">
        <v>0</v>
      </c>
      <c r="S1206">
        <v>0</v>
      </c>
      <c r="T1206" t="b">
        <v>1</v>
      </c>
      <c r="U1206">
        <v>-1</v>
      </c>
      <c r="V1206" s="4">
        <v>35.880000000000003</v>
      </c>
    </row>
    <row r="1207" spans="1:22" x14ac:dyDescent="0.35">
      <c r="A1207" t="s">
        <v>21</v>
      </c>
      <c r="B1207">
        <v>3</v>
      </c>
      <c r="C1207">
        <v>2</v>
      </c>
      <c r="D1207">
        <v>5</v>
      </c>
      <c r="E1207" t="s">
        <v>29</v>
      </c>
      <c r="F1207">
        <v>50</v>
      </c>
      <c r="G1207">
        <v>3</v>
      </c>
      <c r="H1207">
        <v>20</v>
      </c>
      <c r="I1207" t="s">
        <v>26</v>
      </c>
      <c r="J1207" s="3">
        <v>138.592782</v>
      </c>
      <c r="K1207" s="3">
        <v>18342.582999999999</v>
      </c>
      <c r="L1207" s="3">
        <v>19988.973000000002</v>
      </c>
      <c r="M1207" s="3">
        <v>18342.582999999999</v>
      </c>
      <c r="N1207" s="3">
        <v>18342.582999999999</v>
      </c>
      <c r="O1207" s="4">
        <v>0</v>
      </c>
      <c r="P1207" s="4">
        <v>8.9757999999999996</v>
      </c>
      <c r="Q1207" s="4">
        <v>0</v>
      </c>
      <c r="R1207" s="5">
        <v>1.35E-2</v>
      </c>
      <c r="S1207">
        <v>12</v>
      </c>
      <c r="T1207" t="b">
        <v>0</v>
      </c>
      <c r="U1207">
        <v>11</v>
      </c>
      <c r="V1207" s="4">
        <v>118.09</v>
      </c>
    </row>
    <row r="1208" spans="1:22" x14ac:dyDescent="0.35">
      <c r="A1208" t="s">
        <v>21</v>
      </c>
      <c r="B1208">
        <v>3</v>
      </c>
      <c r="C1208">
        <v>2</v>
      </c>
      <c r="D1208">
        <v>5</v>
      </c>
      <c r="E1208" t="s">
        <v>29</v>
      </c>
      <c r="F1208">
        <v>200</v>
      </c>
      <c r="G1208">
        <v>1</v>
      </c>
      <c r="H1208">
        <v>20</v>
      </c>
      <c r="I1208" t="s">
        <v>26</v>
      </c>
      <c r="J1208" s="3">
        <v>404.274835</v>
      </c>
      <c r="K1208" s="3" t="s">
        <v>24</v>
      </c>
      <c r="L1208" s="3" t="s">
        <v>24</v>
      </c>
      <c r="M1208" s="3" t="s">
        <v>24</v>
      </c>
      <c r="N1208" s="3">
        <v>18342.582999999999</v>
      </c>
      <c r="O1208" s="4"/>
      <c r="P1208" s="4"/>
      <c r="Q1208" s="4"/>
      <c r="R1208" s="5">
        <v>0</v>
      </c>
      <c r="S1208">
        <v>0</v>
      </c>
      <c r="T1208" t="b">
        <v>1</v>
      </c>
      <c r="U1208">
        <v>-1</v>
      </c>
      <c r="V1208" s="4">
        <v>112.77</v>
      </c>
    </row>
    <row r="1209" spans="1:22" x14ac:dyDescent="0.35">
      <c r="A1209" t="s">
        <v>21</v>
      </c>
      <c r="B1209">
        <v>3</v>
      </c>
      <c r="C1209">
        <v>2</v>
      </c>
      <c r="D1209">
        <v>5</v>
      </c>
      <c r="E1209" t="s">
        <v>29</v>
      </c>
      <c r="F1209">
        <v>200</v>
      </c>
      <c r="G1209">
        <v>3</v>
      </c>
      <c r="H1209">
        <v>20</v>
      </c>
      <c r="I1209" t="s">
        <v>26</v>
      </c>
      <c r="J1209" s="3">
        <v>150.97912700000001</v>
      </c>
      <c r="K1209" s="3">
        <v>18342.582999999999</v>
      </c>
      <c r="L1209" s="3">
        <v>18342.582999999999</v>
      </c>
      <c r="M1209" s="3">
        <v>18342.582999999999</v>
      </c>
      <c r="N1209" s="3">
        <v>18342.582999999999</v>
      </c>
      <c r="O1209" s="4">
        <v>0</v>
      </c>
      <c r="P1209" s="4">
        <v>0</v>
      </c>
      <c r="Q1209" s="4">
        <v>0</v>
      </c>
      <c r="R1209" s="5">
        <v>2.5999999999999999E-3</v>
      </c>
      <c r="S1209">
        <v>12</v>
      </c>
      <c r="T1209" t="b">
        <v>0</v>
      </c>
      <c r="U1209">
        <v>4</v>
      </c>
      <c r="V1209" s="4">
        <v>318.13</v>
      </c>
    </row>
    <row r="1210" spans="1:22" x14ac:dyDescent="0.35">
      <c r="A1210" t="s">
        <v>21</v>
      </c>
      <c r="B1210">
        <v>3</v>
      </c>
      <c r="C1210">
        <v>2</v>
      </c>
      <c r="D1210">
        <v>10</v>
      </c>
      <c r="E1210" t="s">
        <v>29</v>
      </c>
      <c r="F1210">
        <v>50</v>
      </c>
      <c r="G1210">
        <v>1</v>
      </c>
      <c r="H1210">
        <v>20</v>
      </c>
      <c r="I1210" t="s">
        <v>26</v>
      </c>
      <c r="J1210" s="3">
        <v>814.14606600000002</v>
      </c>
      <c r="K1210" s="3">
        <v>19988.973000000002</v>
      </c>
      <c r="L1210" s="3">
        <v>19988.973000000002</v>
      </c>
      <c r="M1210" s="3">
        <v>19988.973000000002</v>
      </c>
      <c r="N1210" s="3">
        <v>18342.582999999999</v>
      </c>
      <c r="O1210" s="4">
        <v>8.9757999999999996</v>
      </c>
      <c r="P1210" s="4">
        <v>8.9757999999999996</v>
      </c>
      <c r="Q1210" s="4">
        <v>8.9757999999999996</v>
      </c>
      <c r="R1210" s="5">
        <v>1E-4</v>
      </c>
      <c r="S1210">
        <v>1</v>
      </c>
      <c r="T1210" t="b">
        <v>0</v>
      </c>
      <c r="U1210">
        <v>1</v>
      </c>
      <c r="V1210" s="4">
        <v>35.79</v>
      </c>
    </row>
    <row r="1211" spans="1:22" x14ac:dyDescent="0.35">
      <c r="A1211" t="s">
        <v>21</v>
      </c>
      <c r="B1211">
        <v>3</v>
      </c>
      <c r="C1211">
        <v>2</v>
      </c>
      <c r="D1211">
        <v>10</v>
      </c>
      <c r="E1211" t="s">
        <v>29</v>
      </c>
      <c r="F1211">
        <v>50</v>
      </c>
      <c r="G1211">
        <v>3</v>
      </c>
      <c r="H1211">
        <v>20</v>
      </c>
      <c r="I1211" t="s">
        <v>26</v>
      </c>
      <c r="J1211" s="3">
        <v>279.377906</v>
      </c>
      <c r="K1211" s="3">
        <v>18342.582999999999</v>
      </c>
      <c r="L1211" s="3">
        <v>18356.73</v>
      </c>
      <c r="M1211" s="3">
        <v>18342.582999999999</v>
      </c>
      <c r="N1211" s="3">
        <v>18342.582999999999</v>
      </c>
      <c r="O1211" s="4">
        <v>0</v>
      </c>
      <c r="P1211" s="4">
        <v>7.7100000000000002E-2</v>
      </c>
      <c r="Q1211" s="4">
        <v>0</v>
      </c>
      <c r="R1211" s="5">
        <v>2.2000000000000001E-3</v>
      </c>
      <c r="S1211">
        <v>8</v>
      </c>
      <c r="T1211" t="b">
        <v>0</v>
      </c>
      <c r="U1211">
        <v>4</v>
      </c>
      <c r="V1211" s="4">
        <v>106</v>
      </c>
    </row>
    <row r="1212" spans="1:22" x14ac:dyDescent="0.35">
      <c r="A1212" t="s">
        <v>21</v>
      </c>
      <c r="B1212">
        <v>3</v>
      </c>
      <c r="C1212">
        <v>2</v>
      </c>
      <c r="D1212">
        <v>10</v>
      </c>
      <c r="E1212" t="s">
        <v>29</v>
      </c>
      <c r="F1212">
        <v>200</v>
      </c>
      <c r="G1212">
        <v>1</v>
      </c>
      <c r="H1212">
        <v>20</v>
      </c>
      <c r="I1212" t="s">
        <v>26</v>
      </c>
      <c r="J1212" s="3">
        <v>809.05339700000002</v>
      </c>
      <c r="K1212" s="3" t="s">
        <v>24</v>
      </c>
      <c r="L1212" s="3" t="s">
        <v>24</v>
      </c>
      <c r="M1212" s="3" t="s">
        <v>24</v>
      </c>
      <c r="N1212" s="3">
        <v>18342.582999999999</v>
      </c>
      <c r="O1212" s="4"/>
      <c r="P1212" s="4"/>
      <c r="Q1212" s="4"/>
      <c r="R1212" s="5">
        <v>0</v>
      </c>
      <c r="S1212">
        <v>0</v>
      </c>
      <c r="T1212" t="b">
        <v>1</v>
      </c>
      <c r="U1212">
        <v>-1</v>
      </c>
      <c r="V1212" s="4">
        <v>106.95</v>
      </c>
    </row>
    <row r="1213" spans="1:22" x14ac:dyDescent="0.35">
      <c r="A1213" t="s">
        <v>21</v>
      </c>
      <c r="B1213">
        <v>3</v>
      </c>
      <c r="C1213">
        <v>2</v>
      </c>
      <c r="D1213">
        <v>10</v>
      </c>
      <c r="E1213" t="s">
        <v>29</v>
      </c>
      <c r="F1213">
        <v>200</v>
      </c>
      <c r="G1213">
        <v>3</v>
      </c>
      <c r="H1213">
        <v>20</v>
      </c>
      <c r="I1213" t="s">
        <v>26</v>
      </c>
      <c r="J1213" s="3">
        <v>291.09819900000002</v>
      </c>
      <c r="K1213" s="3">
        <v>18342.582999999999</v>
      </c>
      <c r="L1213" s="3">
        <v>18627.170999999998</v>
      </c>
      <c r="M1213" s="3">
        <v>18342.582999999999</v>
      </c>
      <c r="N1213" s="3">
        <v>18342.582999999999</v>
      </c>
      <c r="O1213" s="4">
        <v>0</v>
      </c>
      <c r="P1213" s="4">
        <v>1.5515000000000001</v>
      </c>
      <c r="Q1213" s="4">
        <v>0</v>
      </c>
      <c r="R1213" s="5">
        <v>5.4000000000000003E-3</v>
      </c>
      <c r="S1213">
        <v>12</v>
      </c>
      <c r="T1213" t="b">
        <v>0</v>
      </c>
      <c r="U1213">
        <v>5</v>
      </c>
      <c r="V1213" s="4">
        <v>314.60000000000002</v>
      </c>
    </row>
    <row r="1214" spans="1:22" x14ac:dyDescent="0.35">
      <c r="A1214" t="s">
        <v>21</v>
      </c>
      <c r="B1214">
        <v>3</v>
      </c>
      <c r="C1214">
        <v>5</v>
      </c>
      <c r="D1214">
        <v>2</v>
      </c>
      <c r="E1214" t="s">
        <v>29</v>
      </c>
      <c r="F1214">
        <v>50</v>
      </c>
      <c r="G1214">
        <v>1</v>
      </c>
      <c r="H1214">
        <v>20</v>
      </c>
      <c r="I1214" t="s">
        <v>26</v>
      </c>
      <c r="J1214" s="3">
        <v>163.88903099999999</v>
      </c>
      <c r="K1214" s="3">
        <v>19156.465</v>
      </c>
      <c r="L1214" s="3">
        <v>19156.465</v>
      </c>
      <c r="M1214" s="3">
        <v>19156.465</v>
      </c>
      <c r="N1214" s="3">
        <v>18342.582999999999</v>
      </c>
      <c r="O1214" s="4">
        <v>4.4371</v>
      </c>
      <c r="P1214" s="4">
        <v>4.4371</v>
      </c>
      <c r="Q1214" s="4">
        <v>4.4371</v>
      </c>
      <c r="R1214" s="5">
        <v>1E-4</v>
      </c>
      <c r="S1214">
        <v>1</v>
      </c>
      <c r="T1214" t="b">
        <v>0</v>
      </c>
      <c r="U1214">
        <v>1</v>
      </c>
      <c r="V1214" s="4">
        <v>58.66</v>
      </c>
    </row>
    <row r="1215" spans="1:22" x14ac:dyDescent="0.35">
      <c r="A1215" t="s">
        <v>21</v>
      </c>
      <c r="B1215">
        <v>3</v>
      </c>
      <c r="C1215">
        <v>5</v>
      </c>
      <c r="D1215">
        <v>2</v>
      </c>
      <c r="E1215" t="s">
        <v>29</v>
      </c>
      <c r="F1215">
        <v>50</v>
      </c>
      <c r="G1215">
        <v>3</v>
      </c>
      <c r="H1215">
        <v>20</v>
      </c>
      <c r="I1215" t="s">
        <v>26</v>
      </c>
      <c r="J1215" s="3">
        <v>163.88903099999999</v>
      </c>
      <c r="K1215" s="3">
        <v>19156.465</v>
      </c>
      <c r="L1215" s="3">
        <v>19156.465</v>
      </c>
      <c r="M1215" s="3">
        <v>19156.465</v>
      </c>
      <c r="N1215" s="3">
        <v>18342.582999999999</v>
      </c>
      <c r="O1215" s="4">
        <v>4.4371</v>
      </c>
      <c r="P1215" s="4">
        <v>4.4371</v>
      </c>
      <c r="Q1215" s="4">
        <v>4.4371</v>
      </c>
      <c r="R1215" s="5">
        <v>1E-4</v>
      </c>
      <c r="S1215">
        <v>1</v>
      </c>
      <c r="T1215" t="b">
        <v>0</v>
      </c>
      <c r="U1215">
        <v>1</v>
      </c>
      <c r="V1215" s="4">
        <v>173.28</v>
      </c>
    </row>
    <row r="1216" spans="1:22" x14ac:dyDescent="0.35">
      <c r="A1216" t="s">
        <v>21</v>
      </c>
      <c r="B1216">
        <v>3</v>
      </c>
      <c r="C1216">
        <v>5</v>
      </c>
      <c r="D1216">
        <v>2</v>
      </c>
      <c r="E1216" t="s">
        <v>29</v>
      </c>
      <c r="F1216">
        <v>200</v>
      </c>
      <c r="G1216">
        <v>1</v>
      </c>
      <c r="H1216">
        <v>20</v>
      </c>
      <c r="I1216" t="s">
        <v>26</v>
      </c>
      <c r="J1216" s="3">
        <v>167.642989</v>
      </c>
      <c r="K1216" s="3" t="s">
        <v>24</v>
      </c>
      <c r="L1216" s="3" t="s">
        <v>24</v>
      </c>
      <c r="M1216" s="3" t="s">
        <v>24</v>
      </c>
      <c r="N1216" s="3">
        <v>18342.582999999999</v>
      </c>
      <c r="O1216" s="4"/>
      <c r="P1216" s="4"/>
      <c r="Q1216" s="4"/>
      <c r="R1216" s="5">
        <v>0</v>
      </c>
      <c r="S1216">
        <v>0</v>
      </c>
      <c r="T1216" t="b">
        <v>1</v>
      </c>
      <c r="U1216">
        <v>-1</v>
      </c>
      <c r="V1216" s="4">
        <v>173.74</v>
      </c>
    </row>
    <row r="1217" spans="1:22" x14ac:dyDescent="0.35">
      <c r="A1217" t="s">
        <v>21</v>
      </c>
      <c r="B1217">
        <v>3</v>
      </c>
      <c r="C1217">
        <v>5</v>
      </c>
      <c r="D1217">
        <v>2</v>
      </c>
      <c r="E1217" t="s">
        <v>29</v>
      </c>
      <c r="F1217">
        <v>200</v>
      </c>
      <c r="G1217">
        <v>3</v>
      </c>
      <c r="H1217">
        <v>20</v>
      </c>
      <c r="I1217" t="s">
        <v>26</v>
      </c>
      <c r="J1217" s="3">
        <v>78.779966000000002</v>
      </c>
      <c r="K1217" s="3">
        <v>18342.582999999999</v>
      </c>
      <c r="L1217" s="3">
        <v>19988.973000000002</v>
      </c>
      <c r="M1217" s="3">
        <v>18342.582999999999</v>
      </c>
      <c r="N1217" s="3">
        <v>18342.582999999999</v>
      </c>
      <c r="O1217" s="4">
        <v>0</v>
      </c>
      <c r="P1217" s="4">
        <v>8.9757999999999996</v>
      </c>
      <c r="Q1217" s="4">
        <v>0</v>
      </c>
      <c r="R1217" s="5">
        <v>6.1000000000000004E-3</v>
      </c>
      <c r="S1217">
        <v>12</v>
      </c>
      <c r="T1217" t="b">
        <v>0</v>
      </c>
      <c r="U1217">
        <v>3</v>
      </c>
      <c r="V1217" s="4">
        <v>518.29</v>
      </c>
    </row>
    <row r="1218" spans="1:22" x14ac:dyDescent="0.35">
      <c r="A1218" t="s">
        <v>21</v>
      </c>
      <c r="B1218">
        <v>3</v>
      </c>
      <c r="C1218">
        <v>5</v>
      </c>
      <c r="D1218">
        <v>5</v>
      </c>
      <c r="E1218" t="s">
        <v>29</v>
      </c>
      <c r="F1218">
        <v>50</v>
      </c>
      <c r="G1218">
        <v>1</v>
      </c>
      <c r="H1218">
        <v>20</v>
      </c>
      <c r="I1218" t="s">
        <v>26</v>
      </c>
      <c r="J1218" s="3">
        <v>413.40789000000001</v>
      </c>
      <c r="K1218" s="3" t="s">
        <v>24</v>
      </c>
      <c r="L1218" s="3" t="s">
        <v>24</v>
      </c>
      <c r="M1218" s="3" t="s">
        <v>24</v>
      </c>
      <c r="N1218" s="3">
        <v>18342.582999999999</v>
      </c>
      <c r="O1218" s="4"/>
      <c r="P1218" s="4"/>
      <c r="Q1218" s="4"/>
      <c r="R1218" s="5">
        <v>0</v>
      </c>
      <c r="S1218">
        <v>0</v>
      </c>
      <c r="T1218" t="b">
        <v>1</v>
      </c>
      <c r="U1218">
        <v>-1</v>
      </c>
      <c r="V1218" s="4">
        <v>58.57</v>
      </c>
    </row>
    <row r="1219" spans="1:22" x14ac:dyDescent="0.35">
      <c r="A1219" t="s">
        <v>21</v>
      </c>
      <c r="B1219">
        <v>3</v>
      </c>
      <c r="C1219">
        <v>5</v>
      </c>
      <c r="D1219">
        <v>5</v>
      </c>
      <c r="E1219" t="s">
        <v>29</v>
      </c>
      <c r="F1219">
        <v>50</v>
      </c>
      <c r="G1219">
        <v>3</v>
      </c>
      <c r="H1219">
        <v>20</v>
      </c>
      <c r="I1219" t="s">
        <v>26</v>
      </c>
      <c r="J1219" s="3">
        <v>404.15937500000001</v>
      </c>
      <c r="K1219" s="3" t="s">
        <v>24</v>
      </c>
      <c r="L1219" s="3" t="s">
        <v>24</v>
      </c>
      <c r="M1219" s="3" t="s">
        <v>24</v>
      </c>
      <c r="N1219" s="3">
        <v>18342.582999999999</v>
      </c>
      <c r="O1219" s="4"/>
      <c r="P1219" s="4"/>
      <c r="Q1219" s="4"/>
      <c r="R1219" s="5">
        <v>0</v>
      </c>
      <c r="S1219">
        <v>0</v>
      </c>
      <c r="T1219" t="b">
        <v>1</v>
      </c>
      <c r="U1219">
        <v>-1</v>
      </c>
      <c r="V1219" s="4">
        <v>174.01</v>
      </c>
    </row>
    <row r="1220" spans="1:22" x14ac:dyDescent="0.35">
      <c r="A1220" t="s">
        <v>21</v>
      </c>
      <c r="B1220">
        <v>3</v>
      </c>
      <c r="C1220">
        <v>5</v>
      </c>
      <c r="D1220">
        <v>5</v>
      </c>
      <c r="E1220" t="s">
        <v>29</v>
      </c>
      <c r="F1220">
        <v>200</v>
      </c>
      <c r="G1220">
        <v>1</v>
      </c>
      <c r="H1220">
        <v>20</v>
      </c>
      <c r="I1220" t="s">
        <v>26</v>
      </c>
      <c r="J1220" s="3">
        <v>402.01030500000002</v>
      </c>
      <c r="K1220" s="3" t="s">
        <v>24</v>
      </c>
      <c r="L1220" s="3" t="s">
        <v>24</v>
      </c>
      <c r="M1220" s="3" t="s">
        <v>24</v>
      </c>
      <c r="N1220" s="3">
        <v>18342.582999999999</v>
      </c>
      <c r="O1220" s="4"/>
      <c r="P1220" s="4"/>
      <c r="Q1220" s="4"/>
      <c r="R1220" s="5">
        <v>0</v>
      </c>
      <c r="S1220">
        <v>0</v>
      </c>
      <c r="T1220" t="b">
        <v>1</v>
      </c>
      <c r="U1220">
        <v>-1</v>
      </c>
      <c r="V1220" s="4">
        <v>174.23</v>
      </c>
    </row>
    <row r="1221" spans="1:22" x14ac:dyDescent="0.35">
      <c r="A1221" t="s">
        <v>21</v>
      </c>
      <c r="B1221">
        <v>3</v>
      </c>
      <c r="C1221">
        <v>5</v>
      </c>
      <c r="D1221">
        <v>5</v>
      </c>
      <c r="E1221" t="s">
        <v>29</v>
      </c>
      <c r="F1221">
        <v>200</v>
      </c>
      <c r="G1221">
        <v>3</v>
      </c>
      <c r="H1221">
        <v>20</v>
      </c>
      <c r="I1221" t="s">
        <v>26</v>
      </c>
      <c r="J1221" s="3">
        <v>402.01030500000002</v>
      </c>
      <c r="K1221" s="3" t="s">
        <v>24</v>
      </c>
      <c r="L1221" s="3" t="s">
        <v>24</v>
      </c>
      <c r="M1221" s="3" t="s">
        <v>24</v>
      </c>
      <c r="N1221" s="3">
        <v>18342.582999999999</v>
      </c>
      <c r="O1221" s="4"/>
      <c r="P1221" s="4"/>
      <c r="Q1221" s="4"/>
      <c r="R1221" s="5">
        <v>0</v>
      </c>
      <c r="S1221">
        <v>0</v>
      </c>
      <c r="T1221" t="b">
        <v>1</v>
      </c>
      <c r="U1221">
        <v>-1</v>
      </c>
      <c r="V1221" s="4">
        <v>520.29</v>
      </c>
    </row>
    <row r="1222" spans="1:22" x14ac:dyDescent="0.35">
      <c r="A1222" t="s">
        <v>21</v>
      </c>
      <c r="B1222">
        <v>3</v>
      </c>
      <c r="C1222">
        <v>5</v>
      </c>
      <c r="D1222">
        <v>10</v>
      </c>
      <c r="E1222" t="s">
        <v>29</v>
      </c>
      <c r="F1222">
        <v>50</v>
      </c>
      <c r="G1222">
        <v>1</v>
      </c>
      <c r="H1222">
        <v>20</v>
      </c>
      <c r="I1222" t="s">
        <v>26</v>
      </c>
      <c r="J1222" s="3">
        <v>827.670164</v>
      </c>
      <c r="K1222" s="3">
        <v>18342.582999999999</v>
      </c>
      <c r="L1222" s="3">
        <v>18342.582999999999</v>
      </c>
      <c r="M1222" s="3">
        <v>18342.582999999999</v>
      </c>
      <c r="N1222" s="3">
        <v>18342.582999999999</v>
      </c>
      <c r="O1222" s="4">
        <v>0</v>
      </c>
      <c r="P1222" s="4">
        <v>0</v>
      </c>
      <c r="Q1222" s="4">
        <v>0</v>
      </c>
      <c r="R1222" s="5">
        <v>1E-4</v>
      </c>
      <c r="S1222">
        <v>1</v>
      </c>
      <c r="T1222" t="b">
        <v>0</v>
      </c>
      <c r="U1222">
        <v>1</v>
      </c>
      <c r="V1222" s="4">
        <v>57.99</v>
      </c>
    </row>
    <row r="1223" spans="1:22" x14ac:dyDescent="0.35">
      <c r="A1223" t="s">
        <v>21</v>
      </c>
      <c r="B1223">
        <v>3</v>
      </c>
      <c r="C1223">
        <v>5</v>
      </c>
      <c r="D1223">
        <v>10</v>
      </c>
      <c r="E1223" t="s">
        <v>29</v>
      </c>
      <c r="F1223">
        <v>50</v>
      </c>
      <c r="G1223">
        <v>3</v>
      </c>
      <c r="H1223">
        <v>20</v>
      </c>
      <c r="I1223" t="s">
        <v>26</v>
      </c>
      <c r="J1223" s="3">
        <v>788.03988300000003</v>
      </c>
      <c r="K1223" s="3">
        <v>18342.582999999999</v>
      </c>
      <c r="L1223" s="3">
        <v>19156.465</v>
      </c>
      <c r="M1223" s="3">
        <v>18342.582999999999</v>
      </c>
      <c r="N1223" s="3">
        <v>18342.582999999999</v>
      </c>
      <c r="O1223" s="4">
        <v>0</v>
      </c>
      <c r="P1223" s="4">
        <v>4.4371</v>
      </c>
      <c r="Q1223" s="4">
        <v>0</v>
      </c>
      <c r="R1223" s="5">
        <v>4.0000000000000002E-4</v>
      </c>
      <c r="S1223">
        <v>4</v>
      </c>
      <c r="T1223" t="b">
        <v>0</v>
      </c>
      <c r="U1223">
        <v>2</v>
      </c>
      <c r="V1223" s="4">
        <v>173.75</v>
      </c>
    </row>
    <row r="1224" spans="1:22" x14ac:dyDescent="0.35">
      <c r="A1224" t="s">
        <v>21</v>
      </c>
      <c r="B1224">
        <v>3</v>
      </c>
      <c r="C1224">
        <v>5</v>
      </c>
      <c r="D1224">
        <v>10</v>
      </c>
      <c r="E1224" t="s">
        <v>29</v>
      </c>
      <c r="F1224">
        <v>200</v>
      </c>
      <c r="G1224">
        <v>1</v>
      </c>
      <c r="H1224">
        <v>20</v>
      </c>
      <c r="I1224" t="s">
        <v>26</v>
      </c>
      <c r="J1224" s="3">
        <v>807.660347</v>
      </c>
      <c r="K1224" s="3" t="s">
        <v>24</v>
      </c>
      <c r="L1224" s="3" t="s">
        <v>24</v>
      </c>
      <c r="M1224" s="3" t="s">
        <v>24</v>
      </c>
      <c r="N1224" s="3">
        <v>18342.582999999999</v>
      </c>
      <c r="O1224" s="4"/>
      <c r="P1224" s="4"/>
      <c r="Q1224" s="4"/>
      <c r="R1224" s="5">
        <v>0</v>
      </c>
      <c r="S1224">
        <v>0</v>
      </c>
      <c r="T1224" t="b">
        <v>1</v>
      </c>
      <c r="U1224">
        <v>-1</v>
      </c>
      <c r="V1224" s="4">
        <v>174.59</v>
      </c>
    </row>
    <row r="1225" spans="1:22" x14ac:dyDescent="0.35">
      <c r="A1225" t="s">
        <v>21</v>
      </c>
      <c r="B1225">
        <v>3</v>
      </c>
      <c r="C1225">
        <v>5</v>
      </c>
      <c r="D1225">
        <v>10</v>
      </c>
      <c r="E1225" t="s">
        <v>29</v>
      </c>
      <c r="F1225">
        <v>200</v>
      </c>
      <c r="G1225">
        <v>3</v>
      </c>
      <c r="H1225">
        <v>20</v>
      </c>
      <c r="I1225" t="s">
        <v>26</v>
      </c>
      <c r="J1225" s="3">
        <v>506.55513999999999</v>
      </c>
      <c r="K1225" s="3">
        <v>18342.582999999999</v>
      </c>
      <c r="L1225" s="3">
        <v>19023.089</v>
      </c>
      <c r="M1225" s="3">
        <v>18342.582999999999</v>
      </c>
      <c r="N1225" s="3">
        <v>18342.582999999999</v>
      </c>
      <c r="O1225" s="4">
        <v>0</v>
      </c>
      <c r="P1225" s="4">
        <v>3.71</v>
      </c>
      <c r="Q1225" s="4">
        <v>0</v>
      </c>
      <c r="R1225" s="5">
        <v>1.2999999999999999E-3</v>
      </c>
      <c r="S1225">
        <v>9</v>
      </c>
      <c r="T1225" t="b">
        <v>0</v>
      </c>
      <c r="U1225">
        <v>6</v>
      </c>
      <c r="V1225" s="4">
        <v>517.4</v>
      </c>
    </row>
    <row r="1226" spans="1:22" x14ac:dyDescent="0.35">
      <c r="A1226" t="s">
        <v>21</v>
      </c>
      <c r="B1226">
        <v>4</v>
      </c>
      <c r="C1226">
        <v>2</v>
      </c>
      <c r="D1226">
        <v>2</v>
      </c>
      <c r="E1226" t="s">
        <v>29</v>
      </c>
      <c r="F1226">
        <v>50</v>
      </c>
      <c r="G1226">
        <v>1</v>
      </c>
      <c r="H1226">
        <v>20</v>
      </c>
      <c r="I1226" t="s">
        <v>26</v>
      </c>
      <c r="J1226" s="3">
        <v>208.396027</v>
      </c>
      <c r="K1226" s="3" t="s">
        <v>24</v>
      </c>
      <c r="L1226" s="3" t="s">
        <v>24</v>
      </c>
      <c r="M1226" s="3" t="s">
        <v>24</v>
      </c>
      <c r="N1226" s="3">
        <v>21555.964</v>
      </c>
      <c r="O1226" s="4"/>
      <c r="P1226" s="4"/>
      <c r="Q1226" s="4"/>
      <c r="R1226" s="5">
        <v>0</v>
      </c>
      <c r="S1226">
        <v>0</v>
      </c>
      <c r="T1226" t="b">
        <v>1</v>
      </c>
      <c r="U1226">
        <v>-1</v>
      </c>
      <c r="V1226" s="4">
        <v>36.200000000000003</v>
      </c>
    </row>
    <row r="1227" spans="1:22" x14ac:dyDescent="0.35">
      <c r="A1227" t="s">
        <v>21</v>
      </c>
      <c r="B1227">
        <v>4</v>
      </c>
      <c r="C1227">
        <v>2</v>
      </c>
      <c r="D1227">
        <v>2</v>
      </c>
      <c r="E1227" t="s">
        <v>29</v>
      </c>
      <c r="F1227">
        <v>50</v>
      </c>
      <c r="G1227">
        <v>3</v>
      </c>
      <c r="H1227">
        <v>20</v>
      </c>
      <c r="I1227" t="s">
        <v>26</v>
      </c>
      <c r="J1227" s="3">
        <v>71.272425999999996</v>
      </c>
      <c r="K1227" s="3">
        <v>21555.964</v>
      </c>
      <c r="L1227" s="3">
        <v>21555.964</v>
      </c>
      <c r="M1227" s="3">
        <v>21555.964</v>
      </c>
      <c r="N1227" s="3">
        <v>21555.964</v>
      </c>
      <c r="O1227" s="4">
        <v>0</v>
      </c>
      <c r="P1227" s="4">
        <v>0</v>
      </c>
      <c r="Q1227" s="4">
        <v>0</v>
      </c>
      <c r="R1227" s="5">
        <v>6.4000000000000003E-3</v>
      </c>
      <c r="S1227">
        <v>1</v>
      </c>
      <c r="T1227" t="b">
        <v>0</v>
      </c>
      <c r="U1227">
        <v>1</v>
      </c>
      <c r="V1227" s="4">
        <v>104.96</v>
      </c>
    </row>
    <row r="1228" spans="1:22" x14ac:dyDescent="0.35">
      <c r="A1228" t="s">
        <v>21</v>
      </c>
      <c r="B1228">
        <v>4</v>
      </c>
      <c r="C1228">
        <v>2</v>
      </c>
      <c r="D1228">
        <v>2</v>
      </c>
      <c r="E1228" t="s">
        <v>29</v>
      </c>
      <c r="F1228">
        <v>200</v>
      </c>
      <c r="G1228">
        <v>1</v>
      </c>
      <c r="H1228">
        <v>20</v>
      </c>
      <c r="I1228" t="s">
        <v>26</v>
      </c>
      <c r="J1228" s="3">
        <v>211.43989999999999</v>
      </c>
      <c r="K1228" s="3" t="s">
        <v>24</v>
      </c>
      <c r="L1228" s="3" t="s">
        <v>24</v>
      </c>
      <c r="M1228" s="3" t="s">
        <v>24</v>
      </c>
      <c r="N1228" s="3">
        <v>21555.964</v>
      </c>
      <c r="O1228" s="4"/>
      <c r="P1228" s="4"/>
      <c r="Q1228" s="4"/>
      <c r="R1228" s="5">
        <v>0</v>
      </c>
      <c r="S1228">
        <v>0</v>
      </c>
      <c r="T1228" t="b">
        <v>1</v>
      </c>
      <c r="U1228">
        <v>-1</v>
      </c>
      <c r="V1228" s="4">
        <v>106.45</v>
      </c>
    </row>
    <row r="1229" spans="1:22" x14ac:dyDescent="0.35">
      <c r="A1229" t="s">
        <v>21</v>
      </c>
      <c r="B1229">
        <v>4</v>
      </c>
      <c r="C1229">
        <v>2</v>
      </c>
      <c r="D1229">
        <v>2</v>
      </c>
      <c r="E1229" t="s">
        <v>29</v>
      </c>
      <c r="F1229">
        <v>200</v>
      </c>
      <c r="G1229">
        <v>3</v>
      </c>
      <c r="H1229">
        <v>20</v>
      </c>
      <c r="I1229" t="s">
        <v>26</v>
      </c>
      <c r="J1229" s="3">
        <v>89.079587000000004</v>
      </c>
      <c r="K1229" s="3">
        <v>21555.964</v>
      </c>
      <c r="L1229" s="3">
        <v>21555.964</v>
      </c>
      <c r="M1229" s="3">
        <v>21555.964</v>
      </c>
      <c r="N1229" s="3">
        <v>21555.964</v>
      </c>
      <c r="O1229" s="4">
        <v>0</v>
      </c>
      <c r="P1229" s="4">
        <v>0</v>
      </c>
      <c r="Q1229" s="4">
        <v>0</v>
      </c>
      <c r="R1229" s="5">
        <v>2.0999999999999999E-3</v>
      </c>
      <c r="S1229">
        <v>1</v>
      </c>
      <c r="T1229" t="b">
        <v>0</v>
      </c>
      <c r="U1229">
        <v>1</v>
      </c>
      <c r="V1229" s="4">
        <v>310.88</v>
      </c>
    </row>
    <row r="1230" spans="1:22" x14ac:dyDescent="0.35">
      <c r="A1230" t="s">
        <v>21</v>
      </c>
      <c r="B1230">
        <v>4</v>
      </c>
      <c r="C1230">
        <v>2</v>
      </c>
      <c r="D1230">
        <v>5</v>
      </c>
      <c r="E1230" t="s">
        <v>29</v>
      </c>
      <c r="F1230">
        <v>50</v>
      </c>
      <c r="G1230">
        <v>1</v>
      </c>
      <c r="H1230">
        <v>20</v>
      </c>
      <c r="I1230" t="s">
        <v>26</v>
      </c>
      <c r="J1230" s="3">
        <v>525.76187300000004</v>
      </c>
      <c r="K1230" s="3" t="s">
        <v>24</v>
      </c>
      <c r="L1230" s="3" t="s">
        <v>24</v>
      </c>
      <c r="M1230" s="3" t="s">
        <v>24</v>
      </c>
      <c r="N1230" s="3">
        <v>21555.964</v>
      </c>
      <c r="O1230" s="4"/>
      <c r="P1230" s="4"/>
      <c r="Q1230" s="4"/>
      <c r="R1230" s="5">
        <v>0</v>
      </c>
      <c r="S1230">
        <v>0</v>
      </c>
      <c r="T1230" t="b">
        <v>1</v>
      </c>
      <c r="U1230">
        <v>-1</v>
      </c>
      <c r="V1230" s="4">
        <v>35.869999999999997</v>
      </c>
    </row>
    <row r="1231" spans="1:22" x14ac:dyDescent="0.35">
      <c r="A1231" t="s">
        <v>21</v>
      </c>
      <c r="B1231">
        <v>4</v>
      </c>
      <c r="C1231">
        <v>2</v>
      </c>
      <c r="D1231">
        <v>5</v>
      </c>
      <c r="E1231" t="s">
        <v>29</v>
      </c>
      <c r="F1231">
        <v>50</v>
      </c>
      <c r="G1231">
        <v>3</v>
      </c>
      <c r="H1231">
        <v>20</v>
      </c>
      <c r="I1231" t="s">
        <v>26</v>
      </c>
      <c r="J1231" s="3">
        <v>174.12122199999999</v>
      </c>
      <c r="K1231" s="3">
        <v>21555.964</v>
      </c>
      <c r="L1231" s="3">
        <v>21555.964</v>
      </c>
      <c r="M1231" s="3">
        <v>21555.964</v>
      </c>
      <c r="N1231" s="3">
        <v>21555.964</v>
      </c>
      <c r="O1231" s="4">
        <v>0</v>
      </c>
      <c r="P1231" s="4">
        <v>0</v>
      </c>
      <c r="Q1231" s="4">
        <v>0</v>
      </c>
      <c r="R1231" s="5">
        <v>7.0000000000000001E-3</v>
      </c>
      <c r="S1231">
        <v>1</v>
      </c>
      <c r="T1231" t="b">
        <v>0</v>
      </c>
      <c r="U1231">
        <v>1</v>
      </c>
      <c r="V1231" s="4">
        <v>104.41</v>
      </c>
    </row>
    <row r="1232" spans="1:22" x14ac:dyDescent="0.35">
      <c r="A1232" t="s">
        <v>21</v>
      </c>
      <c r="B1232">
        <v>4</v>
      </c>
      <c r="C1232">
        <v>2</v>
      </c>
      <c r="D1232">
        <v>5</v>
      </c>
      <c r="E1232" t="s">
        <v>29</v>
      </c>
      <c r="F1232">
        <v>200</v>
      </c>
      <c r="G1232">
        <v>1</v>
      </c>
      <c r="H1232">
        <v>20</v>
      </c>
      <c r="I1232" t="s">
        <v>26</v>
      </c>
      <c r="J1232" s="3">
        <v>524.70983000000001</v>
      </c>
      <c r="K1232" s="3" t="s">
        <v>24</v>
      </c>
      <c r="L1232" s="3" t="s">
        <v>24</v>
      </c>
      <c r="M1232" s="3" t="s">
        <v>24</v>
      </c>
      <c r="N1232" s="3">
        <v>21555.964</v>
      </c>
      <c r="O1232" s="4"/>
      <c r="P1232" s="4"/>
      <c r="Q1232" s="4"/>
      <c r="R1232" s="5">
        <v>0</v>
      </c>
      <c r="S1232">
        <v>0</v>
      </c>
      <c r="T1232" t="b">
        <v>1</v>
      </c>
      <c r="U1232">
        <v>-1</v>
      </c>
      <c r="V1232" s="4">
        <v>105.82</v>
      </c>
    </row>
    <row r="1233" spans="1:22" x14ac:dyDescent="0.35">
      <c r="A1233" t="s">
        <v>21</v>
      </c>
      <c r="B1233">
        <v>4</v>
      </c>
      <c r="C1233">
        <v>2</v>
      </c>
      <c r="D1233">
        <v>5</v>
      </c>
      <c r="E1233" t="s">
        <v>29</v>
      </c>
      <c r="F1233">
        <v>200</v>
      </c>
      <c r="G1233">
        <v>3</v>
      </c>
      <c r="H1233">
        <v>20</v>
      </c>
      <c r="I1233" t="s">
        <v>26</v>
      </c>
      <c r="J1233" s="3">
        <v>524.70983000000001</v>
      </c>
      <c r="K1233" s="3" t="s">
        <v>24</v>
      </c>
      <c r="L1233" s="3" t="s">
        <v>24</v>
      </c>
      <c r="M1233" s="3" t="s">
        <v>24</v>
      </c>
      <c r="N1233" s="3">
        <v>21555.964</v>
      </c>
      <c r="O1233" s="4"/>
      <c r="P1233" s="4"/>
      <c r="Q1233" s="4"/>
      <c r="R1233" s="5">
        <v>0</v>
      </c>
      <c r="S1233">
        <v>0</v>
      </c>
      <c r="T1233" t="b">
        <v>1</v>
      </c>
      <c r="U1233">
        <v>-1</v>
      </c>
      <c r="V1233" s="4">
        <v>316.32</v>
      </c>
    </row>
    <row r="1234" spans="1:22" x14ac:dyDescent="0.35">
      <c r="A1234" t="s">
        <v>21</v>
      </c>
      <c r="B1234">
        <v>4</v>
      </c>
      <c r="C1234">
        <v>2</v>
      </c>
      <c r="D1234">
        <v>10</v>
      </c>
      <c r="E1234" t="s">
        <v>29</v>
      </c>
      <c r="F1234">
        <v>50</v>
      </c>
      <c r="G1234">
        <v>1</v>
      </c>
      <c r="H1234">
        <v>20</v>
      </c>
      <c r="I1234" t="s">
        <v>26</v>
      </c>
      <c r="J1234" s="3">
        <v>1038.4903079999999</v>
      </c>
      <c r="K1234" s="3" t="s">
        <v>24</v>
      </c>
      <c r="L1234" s="3" t="s">
        <v>24</v>
      </c>
      <c r="M1234" s="3" t="s">
        <v>24</v>
      </c>
      <c r="N1234" s="3">
        <v>21555.964</v>
      </c>
      <c r="O1234" s="4"/>
      <c r="P1234" s="4"/>
      <c r="Q1234" s="4"/>
      <c r="R1234" s="5">
        <v>0</v>
      </c>
      <c r="S1234">
        <v>0</v>
      </c>
      <c r="T1234" t="b">
        <v>1</v>
      </c>
      <c r="U1234">
        <v>-1</v>
      </c>
      <c r="V1234" s="4">
        <v>35.880000000000003</v>
      </c>
    </row>
    <row r="1235" spans="1:22" x14ac:dyDescent="0.35">
      <c r="A1235" t="s">
        <v>21</v>
      </c>
      <c r="B1235">
        <v>4</v>
      </c>
      <c r="C1235">
        <v>2</v>
      </c>
      <c r="D1235">
        <v>10</v>
      </c>
      <c r="E1235" t="s">
        <v>29</v>
      </c>
      <c r="F1235">
        <v>50</v>
      </c>
      <c r="G1235">
        <v>3</v>
      </c>
      <c r="H1235">
        <v>20</v>
      </c>
      <c r="I1235" t="s">
        <v>26</v>
      </c>
      <c r="J1235" s="3">
        <v>344.14786700000002</v>
      </c>
      <c r="K1235" s="3">
        <v>21555.964</v>
      </c>
      <c r="L1235" s="3">
        <v>21555.964</v>
      </c>
      <c r="M1235" s="3">
        <v>21555.964</v>
      </c>
      <c r="N1235" s="3">
        <v>21555.964</v>
      </c>
      <c r="O1235" s="4">
        <v>0</v>
      </c>
      <c r="P1235" s="4">
        <v>0</v>
      </c>
      <c r="Q1235" s="4">
        <v>0</v>
      </c>
      <c r="R1235" s="5">
        <v>5.7999999999999996E-3</v>
      </c>
      <c r="S1235">
        <v>1</v>
      </c>
      <c r="T1235" t="b">
        <v>0</v>
      </c>
      <c r="U1235">
        <v>1</v>
      </c>
      <c r="V1235" s="4">
        <v>104.28</v>
      </c>
    </row>
    <row r="1236" spans="1:22" x14ac:dyDescent="0.35">
      <c r="A1236" t="s">
        <v>21</v>
      </c>
      <c r="B1236">
        <v>4</v>
      </c>
      <c r="C1236">
        <v>2</v>
      </c>
      <c r="D1236">
        <v>10</v>
      </c>
      <c r="E1236" t="s">
        <v>29</v>
      </c>
      <c r="F1236">
        <v>200</v>
      </c>
      <c r="G1236">
        <v>1</v>
      </c>
      <c r="H1236">
        <v>20</v>
      </c>
      <c r="I1236" t="s">
        <v>26</v>
      </c>
      <c r="J1236" s="3">
        <v>1036.427833</v>
      </c>
      <c r="K1236" s="3" t="s">
        <v>24</v>
      </c>
      <c r="L1236" s="3" t="s">
        <v>24</v>
      </c>
      <c r="M1236" s="3" t="s">
        <v>24</v>
      </c>
      <c r="N1236" s="3">
        <v>21555.964</v>
      </c>
      <c r="O1236" s="4"/>
      <c r="P1236" s="4"/>
      <c r="Q1236" s="4"/>
      <c r="R1236" s="5">
        <v>0</v>
      </c>
      <c r="S1236">
        <v>0</v>
      </c>
      <c r="T1236" t="b">
        <v>1</v>
      </c>
      <c r="U1236">
        <v>-1</v>
      </c>
      <c r="V1236" s="4">
        <v>107.02</v>
      </c>
    </row>
    <row r="1237" spans="1:22" x14ac:dyDescent="0.35">
      <c r="A1237" t="s">
        <v>21</v>
      </c>
      <c r="B1237">
        <v>4</v>
      </c>
      <c r="C1237">
        <v>2</v>
      </c>
      <c r="D1237">
        <v>10</v>
      </c>
      <c r="E1237" t="s">
        <v>29</v>
      </c>
      <c r="F1237">
        <v>200</v>
      </c>
      <c r="G1237">
        <v>3</v>
      </c>
      <c r="H1237">
        <v>20</v>
      </c>
      <c r="I1237" t="s">
        <v>26</v>
      </c>
      <c r="J1237" s="3">
        <v>797.572858</v>
      </c>
      <c r="K1237" s="3" t="s">
        <v>24</v>
      </c>
      <c r="L1237" s="3" t="s">
        <v>24</v>
      </c>
      <c r="M1237" s="3" t="s">
        <v>24</v>
      </c>
      <c r="N1237" s="3">
        <v>21555.964</v>
      </c>
      <c r="O1237" s="4"/>
      <c r="P1237" s="4"/>
      <c r="Q1237" s="4"/>
      <c r="R1237" s="5">
        <v>0</v>
      </c>
      <c r="S1237">
        <v>0</v>
      </c>
      <c r="T1237" t="b">
        <v>1</v>
      </c>
      <c r="U1237">
        <v>-1</v>
      </c>
      <c r="V1237" s="4">
        <v>316.19</v>
      </c>
    </row>
    <row r="1238" spans="1:22" x14ac:dyDescent="0.35">
      <c r="A1238" t="s">
        <v>21</v>
      </c>
      <c r="B1238">
        <v>4</v>
      </c>
      <c r="C1238">
        <v>5</v>
      </c>
      <c r="D1238">
        <v>2</v>
      </c>
      <c r="E1238" t="s">
        <v>29</v>
      </c>
      <c r="F1238">
        <v>50</v>
      </c>
      <c r="G1238">
        <v>1</v>
      </c>
      <c r="H1238">
        <v>20</v>
      </c>
      <c r="I1238" t="s">
        <v>26</v>
      </c>
      <c r="J1238" s="3">
        <v>217.61506900000001</v>
      </c>
      <c r="K1238" s="3" t="s">
        <v>24</v>
      </c>
      <c r="L1238" s="3" t="s">
        <v>24</v>
      </c>
      <c r="M1238" s="3" t="s">
        <v>24</v>
      </c>
      <c r="N1238" s="3">
        <v>21555.964</v>
      </c>
      <c r="O1238" s="4"/>
      <c r="P1238" s="4"/>
      <c r="Q1238" s="4"/>
      <c r="R1238" s="5">
        <v>0</v>
      </c>
      <c r="S1238">
        <v>0</v>
      </c>
      <c r="T1238" t="b">
        <v>1</v>
      </c>
      <c r="U1238">
        <v>-1</v>
      </c>
      <c r="V1238" s="4">
        <v>58.9</v>
      </c>
    </row>
    <row r="1239" spans="1:22" x14ac:dyDescent="0.35">
      <c r="A1239" t="s">
        <v>21</v>
      </c>
      <c r="B1239">
        <v>4</v>
      </c>
      <c r="C1239">
        <v>5</v>
      </c>
      <c r="D1239">
        <v>2</v>
      </c>
      <c r="E1239" t="s">
        <v>29</v>
      </c>
      <c r="F1239">
        <v>50</v>
      </c>
      <c r="G1239">
        <v>3</v>
      </c>
      <c r="H1239">
        <v>20</v>
      </c>
      <c r="I1239" t="s">
        <v>26</v>
      </c>
      <c r="J1239" s="3">
        <v>212.98056</v>
      </c>
      <c r="K1239" s="3" t="s">
        <v>24</v>
      </c>
      <c r="L1239" s="3" t="s">
        <v>24</v>
      </c>
      <c r="M1239" s="3" t="s">
        <v>24</v>
      </c>
      <c r="N1239" s="3">
        <v>21555.964</v>
      </c>
      <c r="O1239" s="4"/>
      <c r="P1239" s="4"/>
      <c r="Q1239" s="4"/>
      <c r="R1239" s="5">
        <v>0</v>
      </c>
      <c r="S1239">
        <v>0</v>
      </c>
      <c r="T1239" t="b">
        <v>1</v>
      </c>
      <c r="U1239">
        <v>-1</v>
      </c>
      <c r="V1239" s="4">
        <v>173.16</v>
      </c>
    </row>
    <row r="1240" spans="1:22" x14ac:dyDescent="0.35">
      <c r="A1240" t="s">
        <v>21</v>
      </c>
      <c r="B1240">
        <v>4</v>
      </c>
      <c r="C1240">
        <v>5</v>
      </c>
      <c r="D1240">
        <v>2</v>
      </c>
      <c r="E1240" t="s">
        <v>29</v>
      </c>
      <c r="F1240">
        <v>200</v>
      </c>
      <c r="G1240">
        <v>1</v>
      </c>
      <c r="H1240">
        <v>20</v>
      </c>
      <c r="I1240" t="s">
        <v>26</v>
      </c>
      <c r="J1240" s="3">
        <v>217.36735400000001</v>
      </c>
      <c r="K1240" s="3" t="s">
        <v>24</v>
      </c>
      <c r="L1240" s="3" t="s">
        <v>24</v>
      </c>
      <c r="M1240" s="3" t="s">
        <v>24</v>
      </c>
      <c r="N1240" s="3">
        <v>21555.964</v>
      </c>
      <c r="O1240" s="4"/>
      <c r="P1240" s="4"/>
      <c r="Q1240" s="4"/>
      <c r="R1240" s="5">
        <v>0</v>
      </c>
      <c r="S1240">
        <v>0</v>
      </c>
      <c r="T1240" t="b">
        <v>1</v>
      </c>
      <c r="U1240">
        <v>-1</v>
      </c>
      <c r="V1240" s="4">
        <v>173.77</v>
      </c>
    </row>
    <row r="1241" spans="1:22" x14ac:dyDescent="0.35">
      <c r="A1241" t="s">
        <v>21</v>
      </c>
      <c r="B1241">
        <v>4</v>
      </c>
      <c r="C1241">
        <v>5</v>
      </c>
      <c r="D1241">
        <v>2</v>
      </c>
      <c r="E1241" t="s">
        <v>29</v>
      </c>
      <c r="F1241">
        <v>200</v>
      </c>
      <c r="G1241">
        <v>3</v>
      </c>
      <c r="H1241">
        <v>20</v>
      </c>
      <c r="I1241" t="s">
        <v>26</v>
      </c>
      <c r="J1241" s="3">
        <v>212.139826</v>
      </c>
      <c r="K1241" s="3">
        <v>21555.964</v>
      </c>
      <c r="L1241" s="3">
        <v>21555.964</v>
      </c>
      <c r="M1241" s="3">
        <v>21555.964</v>
      </c>
      <c r="N1241" s="3">
        <v>21555.964</v>
      </c>
      <c r="O1241" s="4">
        <v>0</v>
      </c>
      <c r="P1241" s="4">
        <v>0</v>
      </c>
      <c r="Q1241" s="4">
        <v>0</v>
      </c>
      <c r="R1241" s="5">
        <v>1E-4</v>
      </c>
      <c r="S1241">
        <v>1</v>
      </c>
      <c r="T1241" t="b">
        <v>0</v>
      </c>
      <c r="U1241">
        <v>1</v>
      </c>
      <c r="V1241" s="4">
        <v>520.15</v>
      </c>
    </row>
    <row r="1242" spans="1:22" x14ac:dyDescent="0.35">
      <c r="A1242" t="s">
        <v>21</v>
      </c>
      <c r="B1242">
        <v>4</v>
      </c>
      <c r="C1242">
        <v>5</v>
      </c>
      <c r="D1242">
        <v>5</v>
      </c>
      <c r="E1242" t="s">
        <v>29</v>
      </c>
      <c r="F1242">
        <v>50</v>
      </c>
      <c r="G1242">
        <v>1</v>
      </c>
      <c r="H1242">
        <v>20</v>
      </c>
      <c r="I1242" t="s">
        <v>26</v>
      </c>
      <c r="J1242" s="3">
        <v>530.89187400000003</v>
      </c>
      <c r="K1242" s="3">
        <v>21555.964</v>
      </c>
      <c r="L1242" s="3">
        <v>21555.964</v>
      </c>
      <c r="M1242" s="3">
        <v>21555.964</v>
      </c>
      <c r="N1242" s="3">
        <v>21555.964</v>
      </c>
      <c r="O1242" s="4">
        <v>0</v>
      </c>
      <c r="P1242" s="4">
        <v>0</v>
      </c>
      <c r="Q1242" s="4">
        <v>0</v>
      </c>
      <c r="R1242" s="5">
        <v>2.9999999999999997E-4</v>
      </c>
      <c r="S1242">
        <v>1</v>
      </c>
      <c r="T1242" t="b">
        <v>0</v>
      </c>
      <c r="U1242">
        <v>1</v>
      </c>
      <c r="V1242" s="4">
        <v>58.47</v>
      </c>
    </row>
    <row r="1243" spans="1:22" x14ac:dyDescent="0.35">
      <c r="A1243" t="s">
        <v>21</v>
      </c>
      <c r="B1243">
        <v>4</v>
      </c>
      <c r="C1243">
        <v>5</v>
      </c>
      <c r="D1243">
        <v>5</v>
      </c>
      <c r="E1243" t="s">
        <v>29</v>
      </c>
      <c r="F1243">
        <v>50</v>
      </c>
      <c r="G1243">
        <v>3</v>
      </c>
      <c r="H1243">
        <v>20</v>
      </c>
      <c r="I1243" t="s">
        <v>26</v>
      </c>
      <c r="J1243" s="3">
        <v>410.56782700000002</v>
      </c>
      <c r="K1243" s="3" t="s">
        <v>24</v>
      </c>
      <c r="L1243" s="3" t="s">
        <v>24</v>
      </c>
      <c r="M1243" s="3" t="s">
        <v>24</v>
      </c>
      <c r="N1243" s="3">
        <v>21555.964</v>
      </c>
      <c r="O1243" s="4"/>
      <c r="P1243" s="4"/>
      <c r="Q1243" s="4"/>
      <c r="R1243" s="5">
        <v>0</v>
      </c>
      <c r="S1243">
        <v>0</v>
      </c>
      <c r="T1243" t="b">
        <v>1</v>
      </c>
      <c r="U1243">
        <v>-1</v>
      </c>
      <c r="V1243" s="4">
        <v>173.76</v>
      </c>
    </row>
    <row r="1244" spans="1:22" x14ac:dyDescent="0.35">
      <c r="A1244" t="s">
        <v>21</v>
      </c>
      <c r="B1244">
        <v>4</v>
      </c>
      <c r="C1244">
        <v>5</v>
      </c>
      <c r="D1244">
        <v>5</v>
      </c>
      <c r="E1244" t="s">
        <v>29</v>
      </c>
      <c r="F1244">
        <v>200</v>
      </c>
      <c r="G1244">
        <v>1</v>
      </c>
      <c r="H1244">
        <v>20</v>
      </c>
      <c r="I1244" t="s">
        <v>26</v>
      </c>
      <c r="J1244" s="3">
        <v>516.27766499999996</v>
      </c>
      <c r="K1244" s="3" t="s">
        <v>24</v>
      </c>
      <c r="L1244" s="3" t="s">
        <v>24</v>
      </c>
      <c r="M1244" s="3" t="s">
        <v>24</v>
      </c>
      <c r="N1244" s="3">
        <v>21555.964</v>
      </c>
      <c r="O1244" s="4"/>
      <c r="P1244" s="4"/>
      <c r="Q1244" s="4"/>
      <c r="R1244" s="5">
        <v>0</v>
      </c>
      <c r="S1244">
        <v>0</v>
      </c>
      <c r="T1244" t="b">
        <v>1</v>
      </c>
      <c r="U1244">
        <v>-1</v>
      </c>
      <c r="V1244" s="4">
        <v>172.75</v>
      </c>
    </row>
    <row r="1245" spans="1:22" x14ac:dyDescent="0.35">
      <c r="A1245" t="s">
        <v>21</v>
      </c>
      <c r="B1245">
        <v>4</v>
      </c>
      <c r="C1245">
        <v>5</v>
      </c>
      <c r="D1245">
        <v>5</v>
      </c>
      <c r="E1245" t="s">
        <v>29</v>
      </c>
      <c r="F1245">
        <v>200</v>
      </c>
      <c r="G1245">
        <v>3</v>
      </c>
      <c r="H1245">
        <v>20</v>
      </c>
      <c r="I1245" t="s">
        <v>26</v>
      </c>
      <c r="J1245" s="3">
        <v>399.33351699999997</v>
      </c>
      <c r="K1245" s="3" t="s">
        <v>24</v>
      </c>
      <c r="L1245" s="3" t="s">
        <v>24</v>
      </c>
      <c r="M1245" s="3" t="s">
        <v>24</v>
      </c>
      <c r="N1245" s="3">
        <v>21555.964</v>
      </c>
      <c r="O1245" s="4"/>
      <c r="P1245" s="4"/>
      <c r="Q1245" s="4"/>
      <c r="R1245" s="5">
        <v>0</v>
      </c>
      <c r="S1245">
        <v>0</v>
      </c>
      <c r="T1245" t="b">
        <v>1</v>
      </c>
      <c r="U1245">
        <v>-1</v>
      </c>
      <c r="V1245" s="4">
        <v>518.26</v>
      </c>
    </row>
    <row r="1246" spans="1:22" x14ac:dyDescent="0.35">
      <c r="A1246" t="s">
        <v>21</v>
      </c>
      <c r="B1246">
        <v>4</v>
      </c>
      <c r="C1246">
        <v>5</v>
      </c>
      <c r="D1246">
        <v>10</v>
      </c>
      <c r="E1246" t="s">
        <v>29</v>
      </c>
      <c r="F1246">
        <v>50</v>
      </c>
      <c r="G1246">
        <v>1</v>
      </c>
      <c r="H1246">
        <v>20</v>
      </c>
      <c r="I1246" t="s">
        <v>26</v>
      </c>
      <c r="J1246" s="3">
        <v>1021.240441</v>
      </c>
      <c r="K1246" s="3">
        <v>21555.964</v>
      </c>
      <c r="L1246" s="3">
        <v>21555.964</v>
      </c>
      <c r="M1246" s="3">
        <v>21555.964</v>
      </c>
      <c r="N1246" s="3">
        <v>21555.964</v>
      </c>
      <c r="O1246" s="4">
        <v>0</v>
      </c>
      <c r="P1246" s="4">
        <v>0</v>
      </c>
      <c r="Q1246" s="4">
        <v>0</v>
      </c>
      <c r="R1246" s="5">
        <v>1E-4</v>
      </c>
      <c r="S1246">
        <v>1</v>
      </c>
      <c r="T1246" t="b">
        <v>0</v>
      </c>
      <c r="U1246">
        <v>1</v>
      </c>
      <c r="V1246" s="4">
        <v>58.25</v>
      </c>
    </row>
    <row r="1247" spans="1:22" x14ac:dyDescent="0.35">
      <c r="A1247" t="s">
        <v>21</v>
      </c>
      <c r="B1247">
        <v>4</v>
      </c>
      <c r="C1247">
        <v>5</v>
      </c>
      <c r="D1247">
        <v>10</v>
      </c>
      <c r="E1247" t="s">
        <v>29</v>
      </c>
      <c r="F1247">
        <v>50</v>
      </c>
      <c r="G1247">
        <v>3</v>
      </c>
      <c r="H1247">
        <v>20</v>
      </c>
      <c r="I1247" t="s">
        <v>26</v>
      </c>
      <c r="J1247" s="3">
        <v>860.01332300000001</v>
      </c>
      <c r="K1247" s="3">
        <v>21555.964</v>
      </c>
      <c r="L1247" s="3">
        <v>21555.964</v>
      </c>
      <c r="M1247" s="3">
        <v>21555.964</v>
      </c>
      <c r="N1247" s="3">
        <v>21555.964</v>
      </c>
      <c r="O1247" s="4">
        <v>0</v>
      </c>
      <c r="P1247" s="4">
        <v>0</v>
      </c>
      <c r="Q1247" s="4">
        <v>0</v>
      </c>
      <c r="R1247" s="5">
        <v>2.9999999999999997E-4</v>
      </c>
      <c r="S1247">
        <v>1</v>
      </c>
      <c r="T1247" t="b">
        <v>0</v>
      </c>
      <c r="U1247">
        <v>1</v>
      </c>
      <c r="V1247" s="4">
        <v>174.76</v>
      </c>
    </row>
    <row r="1248" spans="1:22" x14ac:dyDescent="0.35">
      <c r="A1248" t="s">
        <v>21</v>
      </c>
      <c r="B1248">
        <v>4</v>
      </c>
      <c r="C1248">
        <v>5</v>
      </c>
      <c r="D1248">
        <v>10</v>
      </c>
      <c r="E1248" t="s">
        <v>29</v>
      </c>
      <c r="F1248">
        <v>200</v>
      </c>
      <c r="G1248">
        <v>1</v>
      </c>
      <c r="H1248">
        <v>20</v>
      </c>
      <c r="I1248" t="s">
        <v>26</v>
      </c>
      <c r="J1248" s="3">
        <v>1042.1069580000001</v>
      </c>
      <c r="K1248" s="3" t="s">
        <v>24</v>
      </c>
      <c r="L1248" s="3" t="s">
        <v>24</v>
      </c>
      <c r="M1248" s="3" t="s">
        <v>24</v>
      </c>
      <c r="N1248" s="3">
        <v>21555.964</v>
      </c>
      <c r="O1248" s="4"/>
      <c r="P1248" s="4"/>
      <c r="Q1248" s="4"/>
      <c r="R1248" s="5">
        <v>0</v>
      </c>
      <c r="S1248">
        <v>0</v>
      </c>
      <c r="T1248" t="b">
        <v>1</v>
      </c>
      <c r="U1248">
        <v>-1</v>
      </c>
      <c r="V1248" s="4">
        <v>172.99</v>
      </c>
    </row>
    <row r="1249" spans="1:22" x14ac:dyDescent="0.35">
      <c r="A1249" t="s">
        <v>21</v>
      </c>
      <c r="B1249">
        <v>4</v>
      </c>
      <c r="C1249">
        <v>5</v>
      </c>
      <c r="D1249">
        <v>10</v>
      </c>
      <c r="E1249" t="s">
        <v>29</v>
      </c>
      <c r="F1249">
        <v>200</v>
      </c>
      <c r="G1249">
        <v>3</v>
      </c>
      <c r="H1249">
        <v>20</v>
      </c>
      <c r="I1249" t="s">
        <v>26</v>
      </c>
      <c r="J1249" s="3">
        <v>734.26316299999996</v>
      </c>
      <c r="K1249" s="3">
        <v>21555.964</v>
      </c>
      <c r="L1249" s="3">
        <v>21555.964</v>
      </c>
      <c r="M1249" s="3">
        <v>21555.964</v>
      </c>
      <c r="N1249" s="3">
        <v>21555.964</v>
      </c>
      <c r="O1249" s="4">
        <v>0</v>
      </c>
      <c r="P1249" s="4">
        <v>0</v>
      </c>
      <c r="Q1249" s="4">
        <v>0</v>
      </c>
      <c r="R1249" s="5">
        <v>1.6000000000000001E-3</v>
      </c>
      <c r="S1249">
        <v>1</v>
      </c>
      <c r="T1249" t="b">
        <v>0</v>
      </c>
      <c r="U1249">
        <v>1</v>
      </c>
      <c r="V1249" s="4">
        <v>519.5</v>
      </c>
    </row>
    <row r="1250" spans="1:22" x14ac:dyDescent="0.35">
      <c r="A1250" t="s">
        <v>27</v>
      </c>
      <c r="B1250">
        <v>1</v>
      </c>
      <c r="C1250">
        <v>2</v>
      </c>
      <c r="D1250">
        <v>2</v>
      </c>
      <c r="E1250" t="s">
        <v>29</v>
      </c>
      <c r="F1250">
        <v>50</v>
      </c>
      <c r="G1250">
        <v>1</v>
      </c>
      <c r="H1250">
        <v>16</v>
      </c>
      <c r="I1250" t="s">
        <v>23</v>
      </c>
      <c r="J1250" s="3">
        <v>120.43748600000001</v>
      </c>
      <c r="K1250" s="3">
        <v>17499.967000000001</v>
      </c>
      <c r="L1250" s="3">
        <v>17499.967000000001</v>
      </c>
      <c r="M1250" s="3">
        <v>17499.967000000001</v>
      </c>
      <c r="N1250" s="3">
        <v>17499.967000000001</v>
      </c>
      <c r="O1250" s="4">
        <v>0</v>
      </c>
      <c r="P1250" s="4">
        <v>0</v>
      </c>
      <c r="Q1250" s="4">
        <v>0</v>
      </c>
      <c r="R1250" s="5">
        <v>8.9999999999999998E-4</v>
      </c>
      <c r="S1250">
        <v>8</v>
      </c>
      <c r="T1250" t="b">
        <v>0</v>
      </c>
      <c r="U1250">
        <v>1</v>
      </c>
      <c r="V1250" s="4">
        <v>26.24</v>
      </c>
    </row>
    <row r="1251" spans="1:22" x14ac:dyDescent="0.35">
      <c r="A1251" t="s">
        <v>27</v>
      </c>
      <c r="B1251">
        <v>1</v>
      </c>
      <c r="C1251">
        <v>2</v>
      </c>
      <c r="D1251">
        <v>2</v>
      </c>
      <c r="E1251" t="s">
        <v>29</v>
      </c>
      <c r="F1251">
        <v>50</v>
      </c>
      <c r="G1251">
        <v>3</v>
      </c>
      <c r="H1251">
        <v>16</v>
      </c>
      <c r="I1251" t="s">
        <v>23</v>
      </c>
      <c r="J1251" s="3">
        <v>54.039065000000001</v>
      </c>
      <c r="K1251" s="3">
        <v>19580.759999999998</v>
      </c>
      <c r="L1251" s="3">
        <v>21443.097000000002</v>
      </c>
      <c r="M1251" s="3">
        <v>19580.759999999998</v>
      </c>
      <c r="N1251" s="3">
        <v>17499.967000000001</v>
      </c>
      <c r="O1251" s="4">
        <v>11.8903</v>
      </c>
      <c r="P1251" s="4">
        <v>22.5322</v>
      </c>
      <c r="Q1251" s="4">
        <v>11.8903</v>
      </c>
      <c r="R1251" s="5">
        <v>2.0000000000000001E-4</v>
      </c>
      <c r="S1251">
        <v>2</v>
      </c>
      <c r="T1251" t="b">
        <v>0</v>
      </c>
      <c r="U1251">
        <v>2</v>
      </c>
      <c r="V1251" s="4">
        <v>74.13</v>
      </c>
    </row>
    <row r="1252" spans="1:22" x14ac:dyDescent="0.35">
      <c r="A1252" t="s">
        <v>27</v>
      </c>
      <c r="B1252">
        <v>1</v>
      </c>
      <c r="C1252">
        <v>2</v>
      </c>
      <c r="D1252">
        <v>2</v>
      </c>
      <c r="E1252" t="s">
        <v>29</v>
      </c>
      <c r="F1252">
        <v>200</v>
      </c>
      <c r="G1252">
        <v>1</v>
      </c>
      <c r="H1252">
        <v>16</v>
      </c>
      <c r="I1252" t="s">
        <v>23</v>
      </c>
      <c r="J1252" s="3">
        <v>113.436588</v>
      </c>
      <c r="K1252" s="3">
        <v>17499.967000000001</v>
      </c>
      <c r="L1252" s="3">
        <v>19710.715</v>
      </c>
      <c r="M1252" s="3">
        <v>17499.967000000001</v>
      </c>
      <c r="N1252" s="3">
        <v>17499.967000000001</v>
      </c>
      <c r="O1252" s="4">
        <v>0</v>
      </c>
      <c r="P1252" s="4">
        <v>12.632899999999999</v>
      </c>
      <c r="Q1252" s="4">
        <v>0</v>
      </c>
      <c r="R1252" s="5">
        <v>6.4000000000000003E-3</v>
      </c>
      <c r="S1252">
        <v>23</v>
      </c>
      <c r="T1252" t="b">
        <v>0</v>
      </c>
      <c r="U1252">
        <v>6</v>
      </c>
      <c r="V1252" s="4">
        <v>77.819999999999993</v>
      </c>
    </row>
    <row r="1253" spans="1:22" x14ac:dyDescent="0.35">
      <c r="A1253" t="s">
        <v>27</v>
      </c>
      <c r="B1253">
        <v>1</v>
      </c>
      <c r="C1253">
        <v>2</v>
      </c>
      <c r="D1253">
        <v>2</v>
      </c>
      <c r="E1253" t="s">
        <v>29</v>
      </c>
      <c r="F1253">
        <v>200</v>
      </c>
      <c r="G1253">
        <v>3</v>
      </c>
      <c r="H1253">
        <v>16</v>
      </c>
      <c r="I1253" t="s">
        <v>23</v>
      </c>
      <c r="J1253" s="3">
        <v>52.246276000000002</v>
      </c>
      <c r="K1253" s="3">
        <v>17499.967000000001</v>
      </c>
      <c r="L1253" s="3">
        <v>19827.343000000001</v>
      </c>
      <c r="M1253" s="3">
        <v>17499.967000000001</v>
      </c>
      <c r="N1253" s="3">
        <v>17499.967000000001</v>
      </c>
      <c r="O1253" s="4">
        <v>0</v>
      </c>
      <c r="P1253" s="4">
        <v>13.299300000000001</v>
      </c>
      <c r="Q1253" s="4">
        <v>0</v>
      </c>
      <c r="R1253" s="5">
        <v>2E-3</v>
      </c>
      <c r="S1253">
        <v>14</v>
      </c>
      <c r="T1253" t="b">
        <v>0</v>
      </c>
      <c r="U1253">
        <v>2</v>
      </c>
      <c r="V1253" s="4">
        <v>220.82</v>
      </c>
    </row>
    <row r="1254" spans="1:22" x14ac:dyDescent="0.35">
      <c r="A1254" t="s">
        <v>27</v>
      </c>
      <c r="B1254">
        <v>1</v>
      </c>
      <c r="C1254">
        <v>2</v>
      </c>
      <c r="D1254">
        <v>5</v>
      </c>
      <c r="E1254" t="s">
        <v>29</v>
      </c>
      <c r="F1254">
        <v>50</v>
      </c>
      <c r="G1254">
        <v>1</v>
      </c>
      <c r="H1254">
        <v>16</v>
      </c>
      <c r="I1254" t="s">
        <v>23</v>
      </c>
      <c r="J1254" s="3">
        <v>139.34156100000001</v>
      </c>
      <c r="K1254" s="3">
        <v>17499.967000000001</v>
      </c>
      <c r="L1254" s="3">
        <v>17499.967000000001</v>
      </c>
      <c r="M1254" s="3">
        <v>17499.967000000001</v>
      </c>
      <c r="N1254" s="3">
        <v>17499.967000000001</v>
      </c>
      <c r="O1254" s="4">
        <v>0</v>
      </c>
      <c r="P1254" s="4">
        <v>0</v>
      </c>
      <c r="Q1254" s="4">
        <v>0</v>
      </c>
      <c r="R1254" s="5">
        <v>2.92E-2</v>
      </c>
      <c r="S1254">
        <v>24</v>
      </c>
      <c r="T1254" t="b">
        <v>0</v>
      </c>
      <c r="U1254">
        <v>6</v>
      </c>
      <c r="V1254" s="4">
        <v>24.21</v>
      </c>
    </row>
    <row r="1255" spans="1:22" x14ac:dyDescent="0.35">
      <c r="A1255" t="s">
        <v>27</v>
      </c>
      <c r="B1255">
        <v>1</v>
      </c>
      <c r="C1255">
        <v>2</v>
      </c>
      <c r="D1255">
        <v>5</v>
      </c>
      <c r="E1255" t="s">
        <v>29</v>
      </c>
      <c r="F1255">
        <v>50</v>
      </c>
      <c r="G1255">
        <v>3</v>
      </c>
      <c r="H1255">
        <v>16</v>
      </c>
      <c r="I1255" t="s">
        <v>23</v>
      </c>
      <c r="J1255" s="3">
        <v>88.542592999999997</v>
      </c>
      <c r="K1255" s="3">
        <v>17499.967000000001</v>
      </c>
      <c r="L1255" s="3">
        <v>17560.769</v>
      </c>
      <c r="M1255" s="3">
        <v>17499.967000000001</v>
      </c>
      <c r="N1255" s="3">
        <v>17499.967000000001</v>
      </c>
      <c r="O1255" s="4">
        <v>0</v>
      </c>
      <c r="P1255" s="4">
        <v>0.34739999999999999</v>
      </c>
      <c r="Q1255" s="4">
        <v>0</v>
      </c>
      <c r="R1255" s="5">
        <v>1.5900000000000001E-2</v>
      </c>
      <c r="S1255">
        <v>24</v>
      </c>
      <c r="T1255" t="b">
        <v>0</v>
      </c>
      <c r="U1255">
        <v>14</v>
      </c>
      <c r="V1255" s="4">
        <v>72.930000000000007</v>
      </c>
    </row>
    <row r="1256" spans="1:22" x14ac:dyDescent="0.35">
      <c r="A1256" t="s">
        <v>27</v>
      </c>
      <c r="B1256">
        <v>1</v>
      </c>
      <c r="C1256">
        <v>2</v>
      </c>
      <c r="D1256">
        <v>5</v>
      </c>
      <c r="E1256" t="s">
        <v>29</v>
      </c>
      <c r="F1256">
        <v>200</v>
      </c>
      <c r="G1256">
        <v>1</v>
      </c>
      <c r="H1256">
        <v>16</v>
      </c>
      <c r="I1256" t="s">
        <v>23</v>
      </c>
      <c r="J1256" s="3">
        <v>132.144767</v>
      </c>
      <c r="K1256" s="3">
        <v>17560.769</v>
      </c>
      <c r="L1256" s="3">
        <v>19697.387999999999</v>
      </c>
      <c r="M1256" s="3">
        <v>17499.967000000001</v>
      </c>
      <c r="N1256" s="3">
        <v>17499.967000000001</v>
      </c>
      <c r="O1256" s="4">
        <v>0.34739999999999999</v>
      </c>
      <c r="P1256" s="4">
        <v>12.556699999999999</v>
      </c>
      <c r="Q1256" s="4">
        <v>0</v>
      </c>
      <c r="R1256" s="5">
        <v>5.2699999999999997E-2</v>
      </c>
      <c r="S1256">
        <v>24</v>
      </c>
      <c r="T1256" t="b">
        <v>0</v>
      </c>
      <c r="U1256">
        <v>23</v>
      </c>
      <c r="V1256" s="4">
        <v>69.44</v>
      </c>
    </row>
    <row r="1257" spans="1:22" x14ac:dyDescent="0.35">
      <c r="A1257" t="s">
        <v>27</v>
      </c>
      <c r="B1257">
        <v>1</v>
      </c>
      <c r="C1257">
        <v>2</v>
      </c>
      <c r="D1257">
        <v>5</v>
      </c>
      <c r="E1257" t="s">
        <v>29</v>
      </c>
      <c r="F1257">
        <v>200</v>
      </c>
      <c r="G1257">
        <v>3</v>
      </c>
      <c r="H1257">
        <v>16</v>
      </c>
      <c r="I1257" t="s">
        <v>23</v>
      </c>
      <c r="J1257" s="3">
        <v>80.418925999999999</v>
      </c>
      <c r="K1257" s="3">
        <v>17499.967000000001</v>
      </c>
      <c r="L1257" s="3">
        <v>17965.006000000001</v>
      </c>
      <c r="M1257" s="3">
        <v>17499.967000000001</v>
      </c>
      <c r="N1257" s="3">
        <v>17499.967000000001</v>
      </c>
      <c r="O1257" s="4">
        <v>0</v>
      </c>
      <c r="P1257" s="4">
        <v>2.6574</v>
      </c>
      <c r="Q1257" s="4">
        <v>0</v>
      </c>
      <c r="R1257" s="5">
        <v>3.56E-2</v>
      </c>
      <c r="S1257">
        <v>24</v>
      </c>
      <c r="T1257" t="b">
        <v>0</v>
      </c>
      <c r="U1257">
        <v>12</v>
      </c>
      <c r="V1257" s="4">
        <v>204.34</v>
      </c>
    </row>
    <row r="1258" spans="1:22" x14ac:dyDescent="0.35">
      <c r="A1258" t="s">
        <v>27</v>
      </c>
      <c r="B1258">
        <v>1</v>
      </c>
      <c r="C1258">
        <v>2</v>
      </c>
      <c r="D1258">
        <v>10</v>
      </c>
      <c r="E1258" t="s">
        <v>29</v>
      </c>
      <c r="F1258">
        <v>50</v>
      </c>
      <c r="G1258">
        <v>1</v>
      </c>
      <c r="H1258">
        <v>16</v>
      </c>
      <c r="I1258" t="s">
        <v>23</v>
      </c>
      <c r="J1258" s="3">
        <v>180.26549700000001</v>
      </c>
      <c r="K1258" s="3">
        <v>17499.967000000001</v>
      </c>
      <c r="L1258" s="3">
        <v>19710.715</v>
      </c>
      <c r="M1258" s="3">
        <v>17499.967000000001</v>
      </c>
      <c r="N1258" s="3">
        <v>17499.967000000001</v>
      </c>
      <c r="O1258" s="4">
        <v>0</v>
      </c>
      <c r="P1258" s="4">
        <v>12.632899999999999</v>
      </c>
      <c r="Q1258" s="4">
        <v>0</v>
      </c>
      <c r="R1258" s="5">
        <v>2.8899999999999999E-2</v>
      </c>
      <c r="S1258">
        <v>24</v>
      </c>
      <c r="T1258" t="b">
        <v>0</v>
      </c>
      <c r="U1258">
        <v>5</v>
      </c>
      <c r="V1258" s="4">
        <v>24.54</v>
      </c>
    </row>
    <row r="1259" spans="1:22" x14ac:dyDescent="0.35">
      <c r="A1259" t="s">
        <v>27</v>
      </c>
      <c r="B1259">
        <v>1</v>
      </c>
      <c r="C1259">
        <v>2</v>
      </c>
      <c r="D1259">
        <v>10</v>
      </c>
      <c r="E1259" t="s">
        <v>29</v>
      </c>
      <c r="F1259">
        <v>50</v>
      </c>
      <c r="G1259">
        <v>3</v>
      </c>
      <c r="H1259">
        <v>16</v>
      </c>
      <c r="I1259" t="s">
        <v>23</v>
      </c>
      <c r="J1259" s="3">
        <v>164.90459300000001</v>
      </c>
      <c r="K1259" s="3">
        <v>17499.967000000001</v>
      </c>
      <c r="L1259" s="3">
        <v>21443.097000000002</v>
      </c>
      <c r="M1259" s="3">
        <v>17499.967000000001</v>
      </c>
      <c r="N1259" s="3">
        <v>17499.967000000001</v>
      </c>
      <c r="O1259" s="4">
        <v>0</v>
      </c>
      <c r="P1259" s="4">
        <v>22.5322</v>
      </c>
      <c r="Q1259" s="4">
        <v>0</v>
      </c>
      <c r="R1259" s="5">
        <v>2.18E-2</v>
      </c>
      <c r="S1259">
        <v>24</v>
      </c>
      <c r="T1259" t="b">
        <v>0</v>
      </c>
      <c r="U1259">
        <v>4</v>
      </c>
      <c r="V1259" s="4">
        <v>73.62</v>
      </c>
    </row>
    <row r="1260" spans="1:22" x14ac:dyDescent="0.35">
      <c r="A1260" t="s">
        <v>27</v>
      </c>
      <c r="B1260">
        <v>1</v>
      </c>
      <c r="C1260">
        <v>2</v>
      </c>
      <c r="D1260">
        <v>10</v>
      </c>
      <c r="E1260" t="s">
        <v>29</v>
      </c>
      <c r="F1260">
        <v>200</v>
      </c>
      <c r="G1260">
        <v>1</v>
      </c>
      <c r="H1260">
        <v>16</v>
      </c>
      <c r="I1260" t="s">
        <v>23</v>
      </c>
      <c r="J1260" s="3">
        <v>163.12524199999999</v>
      </c>
      <c r="K1260" s="3">
        <v>17499.967000000001</v>
      </c>
      <c r="L1260" s="3">
        <v>17560.769</v>
      </c>
      <c r="M1260" s="3">
        <v>17499.967000000001</v>
      </c>
      <c r="N1260" s="3">
        <v>17499.967000000001</v>
      </c>
      <c r="O1260" s="4">
        <v>0</v>
      </c>
      <c r="P1260" s="4">
        <v>0.34739999999999999</v>
      </c>
      <c r="Q1260" s="4">
        <v>0</v>
      </c>
      <c r="R1260" s="5">
        <v>2.24E-2</v>
      </c>
      <c r="S1260">
        <v>24</v>
      </c>
      <c r="T1260" t="b">
        <v>0</v>
      </c>
      <c r="U1260">
        <v>6</v>
      </c>
      <c r="V1260" s="4">
        <v>68.989999999999995</v>
      </c>
    </row>
    <row r="1261" spans="1:22" x14ac:dyDescent="0.35">
      <c r="A1261" t="s">
        <v>27</v>
      </c>
      <c r="B1261">
        <v>1</v>
      </c>
      <c r="C1261">
        <v>2</v>
      </c>
      <c r="D1261">
        <v>10</v>
      </c>
      <c r="E1261" t="s">
        <v>29</v>
      </c>
      <c r="F1261">
        <v>200</v>
      </c>
      <c r="G1261">
        <v>3</v>
      </c>
      <c r="H1261">
        <v>16</v>
      </c>
      <c r="I1261" t="s">
        <v>23</v>
      </c>
      <c r="J1261" s="3">
        <v>159.454736</v>
      </c>
      <c r="K1261" s="3">
        <v>17787.576000000001</v>
      </c>
      <c r="L1261" s="3">
        <v>21443.097000000002</v>
      </c>
      <c r="M1261" s="3">
        <v>17499.967000000001</v>
      </c>
      <c r="N1261" s="3">
        <v>17499.967000000001</v>
      </c>
      <c r="O1261" s="4">
        <v>1.6435</v>
      </c>
      <c r="P1261" s="4">
        <v>22.5322</v>
      </c>
      <c r="Q1261" s="4">
        <v>0</v>
      </c>
      <c r="R1261" s="5">
        <v>2.58E-2</v>
      </c>
      <c r="S1261">
        <v>24</v>
      </c>
      <c r="T1261" t="b">
        <v>0</v>
      </c>
      <c r="U1261">
        <v>22</v>
      </c>
      <c r="V1261" s="4">
        <v>205.64</v>
      </c>
    </row>
    <row r="1262" spans="1:22" x14ac:dyDescent="0.35">
      <c r="A1262" t="s">
        <v>27</v>
      </c>
      <c r="B1262">
        <v>1</v>
      </c>
      <c r="C1262">
        <v>5</v>
      </c>
      <c r="D1262">
        <v>2</v>
      </c>
      <c r="E1262" t="s">
        <v>29</v>
      </c>
      <c r="F1262">
        <v>50</v>
      </c>
      <c r="G1262">
        <v>1</v>
      </c>
      <c r="H1262">
        <v>16</v>
      </c>
      <c r="I1262" t="s">
        <v>23</v>
      </c>
      <c r="J1262" s="3">
        <v>116.721052</v>
      </c>
      <c r="K1262" s="3">
        <v>17499.967000000001</v>
      </c>
      <c r="L1262" s="3">
        <v>17499.967000000001</v>
      </c>
      <c r="M1262" s="3">
        <v>17499.967000000001</v>
      </c>
      <c r="N1262" s="3">
        <v>17499.967000000001</v>
      </c>
      <c r="O1262" s="4">
        <v>0</v>
      </c>
      <c r="P1262" s="4">
        <v>0</v>
      </c>
      <c r="Q1262" s="4">
        <v>0</v>
      </c>
      <c r="R1262" s="5">
        <v>8.9999999999999998E-4</v>
      </c>
      <c r="S1262">
        <v>7</v>
      </c>
      <c r="T1262" t="b">
        <v>0</v>
      </c>
      <c r="U1262">
        <v>1</v>
      </c>
      <c r="V1262" s="4">
        <v>34</v>
      </c>
    </row>
    <row r="1263" spans="1:22" x14ac:dyDescent="0.35">
      <c r="A1263" t="s">
        <v>27</v>
      </c>
      <c r="B1263">
        <v>1</v>
      </c>
      <c r="C1263">
        <v>5</v>
      </c>
      <c r="D1263">
        <v>2</v>
      </c>
      <c r="E1263" t="s">
        <v>29</v>
      </c>
      <c r="F1263">
        <v>50</v>
      </c>
      <c r="G1263">
        <v>3</v>
      </c>
      <c r="H1263">
        <v>16</v>
      </c>
      <c r="I1263" t="s">
        <v>23</v>
      </c>
      <c r="J1263" s="3">
        <v>109.809853</v>
      </c>
      <c r="K1263" s="3">
        <v>17499.967000000001</v>
      </c>
      <c r="L1263" s="3">
        <v>17965.006000000001</v>
      </c>
      <c r="M1263" s="3">
        <v>17499.967000000001</v>
      </c>
      <c r="N1263" s="3">
        <v>17499.967000000001</v>
      </c>
      <c r="O1263" s="4">
        <v>0</v>
      </c>
      <c r="P1263" s="4">
        <v>2.6574</v>
      </c>
      <c r="Q1263" s="4">
        <v>0</v>
      </c>
      <c r="R1263" s="5">
        <v>1.8E-3</v>
      </c>
      <c r="S1263">
        <v>12</v>
      </c>
      <c r="T1263" t="b">
        <v>0</v>
      </c>
      <c r="U1263">
        <v>5</v>
      </c>
      <c r="V1263" s="4">
        <v>103.05</v>
      </c>
    </row>
    <row r="1264" spans="1:22" x14ac:dyDescent="0.35">
      <c r="A1264" t="s">
        <v>27</v>
      </c>
      <c r="B1264">
        <v>1</v>
      </c>
      <c r="C1264">
        <v>5</v>
      </c>
      <c r="D1264">
        <v>2</v>
      </c>
      <c r="E1264" t="s">
        <v>29</v>
      </c>
      <c r="F1264">
        <v>200</v>
      </c>
      <c r="G1264">
        <v>1</v>
      </c>
      <c r="H1264">
        <v>16</v>
      </c>
      <c r="I1264" t="s">
        <v>23</v>
      </c>
      <c r="J1264" s="3">
        <v>99.771314000000004</v>
      </c>
      <c r="K1264" s="3">
        <v>17499.967000000001</v>
      </c>
      <c r="L1264" s="3">
        <v>17787.576000000001</v>
      </c>
      <c r="M1264" s="3">
        <v>17499.967000000001</v>
      </c>
      <c r="N1264" s="3">
        <v>17499.967000000001</v>
      </c>
      <c r="O1264" s="4">
        <v>0</v>
      </c>
      <c r="P1264" s="4">
        <v>1.6435</v>
      </c>
      <c r="Q1264" s="4">
        <v>0</v>
      </c>
      <c r="R1264" s="5">
        <v>2.9000000000000001E-2</v>
      </c>
      <c r="S1264">
        <v>24</v>
      </c>
      <c r="T1264" t="b">
        <v>0</v>
      </c>
      <c r="U1264">
        <v>4</v>
      </c>
      <c r="V1264" s="4">
        <v>99.22</v>
      </c>
    </row>
    <row r="1265" spans="1:22" x14ac:dyDescent="0.35">
      <c r="A1265" t="s">
        <v>27</v>
      </c>
      <c r="B1265">
        <v>1</v>
      </c>
      <c r="C1265">
        <v>5</v>
      </c>
      <c r="D1265">
        <v>2</v>
      </c>
      <c r="E1265" t="s">
        <v>29</v>
      </c>
      <c r="F1265">
        <v>200</v>
      </c>
      <c r="G1265">
        <v>3</v>
      </c>
      <c r="H1265">
        <v>16</v>
      </c>
      <c r="I1265" t="s">
        <v>23</v>
      </c>
      <c r="J1265" s="3">
        <v>38.960076999999998</v>
      </c>
      <c r="K1265" s="3">
        <v>19697.387999999999</v>
      </c>
      <c r="L1265" s="3">
        <v>21620.526999999998</v>
      </c>
      <c r="M1265" s="3">
        <v>17499.967000000001</v>
      </c>
      <c r="N1265" s="3">
        <v>17499.967000000001</v>
      </c>
      <c r="O1265" s="4">
        <v>12.556699999999999</v>
      </c>
      <c r="P1265" s="4">
        <v>23.546099999999999</v>
      </c>
      <c r="Q1265" s="4">
        <v>0</v>
      </c>
      <c r="R1265" s="5">
        <v>8.1799999999999998E-2</v>
      </c>
      <c r="S1265">
        <v>24</v>
      </c>
      <c r="T1265" t="b">
        <v>0</v>
      </c>
      <c r="U1265">
        <v>16</v>
      </c>
      <c r="V1265" s="4">
        <v>292.58</v>
      </c>
    </row>
    <row r="1266" spans="1:22" x14ac:dyDescent="0.35">
      <c r="A1266" t="s">
        <v>27</v>
      </c>
      <c r="B1266">
        <v>1</v>
      </c>
      <c r="C1266">
        <v>5</v>
      </c>
      <c r="D1266">
        <v>5</v>
      </c>
      <c r="E1266" t="s">
        <v>29</v>
      </c>
      <c r="F1266">
        <v>50</v>
      </c>
      <c r="G1266">
        <v>1</v>
      </c>
      <c r="H1266">
        <v>16</v>
      </c>
      <c r="I1266" t="s">
        <v>23</v>
      </c>
      <c r="J1266" s="3">
        <v>306.89818500000001</v>
      </c>
      <c r="K1266" s="3">
        <v>17560.769</v>
      </c>
      <c r="L1266" s="3">
        <v>21847.333999999999</v>
      </c>
      <c r="M1266" s="3">
        <v>17499.967000000001</v>
      </c>
      <c r="N1266" s="3">
        <v>17499.967000000001</v>
      </c>
      <c r="O1266" s="4">
        <v>0.34739999999999999</v>
      </c>
      <c r="P1266" s="4">
        <v>24.842099999999999</v>
      </c>
      <c r="Q1266" s="4">
        <v>0</v>
      </c>
      <c r="R1266" s="5">
        <v>3.0099999999999998E-2</v>
      </c>
      <c r="S1266">
        <v>24</v>
      </c>
      <c r="T1266" t="b">
        <v>0</v>
      </c>
      <c r="U1266">
        <v>11</v>
      </c>
      <c r="V1266" s="4">
        <v>33.340000000000003</v>
      </c>
    </row>
    <row r="1267" spans="1:22" x14ac:dyDescent="0.35">
      <c r="A1267" t="s">
        <v>27</v>
      </c>
      <c r="B1267">
        <v>1</v>
      </c>
      <c r="C1267">
        <v>5</v>
      </c>
      <c r="D1267">
        <v>5</v>
      </c>
      <c r="E1267" t="s">
        <v>29</v>
      </c>
      <c r="F1267">
        <v>50</v>
      </c>
      <c r="G1267">
        <v>3</v>
      </c>
      <c r="H1267">
        <v>16</v>
      </c>
      <c r="I1267" t="s">
        <v>23</v>
      </c>
      <c r="J1267" s="3">
        <v>299.08951100000002</v>
      </c>
      <c r="K1267" s="3">
        <v>17499.967000000001</v>
      </c>
      <c r="L1267" s="3">
        <v>17560.769</v>
      </c>
      <c r="M1267" s="3">
        <v>17499.967000000001</v>
      </c>
      <c r="N1267" s="3">
        <v>17499.967000000001</v>
      </c>
      <c r="O1267" s="4">
        <v>0</v>
      </c>
      <c r="P1267" s="4">
        <v>0.34739999999999999</v>
      </c>
      <c r="Q1267" s="4">
        <v>0</v>
      </c>
      <c r="R1267" s="5">
        <v>2.0999999999999999E-3</v>
      </c>
      <c r="S1267">
        <v>14</v>
      </c>
      <c r="T1267" t="b">
        <v>0</v>
      </c>
      <c r="U1267">
        <v>5</v>
      </c>
      <c r="V1267" s="4">
        <v>106.82</v>
      </c>
    </row>
    <row r="1268" spans="1:22" x14ac:dyDescent="0.35">
      <c r="A1268" t="s">
        <v>27</v>
      </c>
      <c r="B1268">
        <v>1</v>
      </c>
      <c r="C1268">
        <v>5</v>
      </c>
      <c r="D1268">
        <v>5</v>
      </c>
      <c r="E1268" t="s">
        <v>29</v>
      </c>
      <c r="F1268">
        <v>200</v>
      </c>
      <c r="G1268">
        <v>1</v>
      </c>
      <c r="H1268">
        <v>16</v>
      </c>
      <c r="I1268" t="s">
        <v>23</v>
      </c>
      <c r="J1268" s="3">
        <v>300.58448199999998</v>
      </c>
      <c r="K1268" s="3">
        <v>17560.769</v>
      </c>
      <c r="L1268" s="3">
        <v>21443.097000000002</v>
      </c>
      <c r="M1268" s="3">
        <v>17499.967000000001</v>
      </c>
      <c r="N1268" s="3">
        <v>17499.967000000001</v>
      </c>
      <c r="O1268" s="4">
        <v>0.34739999999999999</v>
      </c>
      <c r="P1268" s="4">
        <v>22.5322</v>
      </c>
      <c r="Q1268" s="4">
        <v>0</v>
      </c>
      <c r="R1268" s="5">
        <v>1.4800000000000001E-2</v>
      </c>
      <c r="S1268">
        <v>24</v>
      </c>
      <c r="T1268" t="b">
        <v>0</v>
      </c>
      <c r="U1268">
        <v>12</v>
      </c>
      <c r="V1268" s="4">
        <v>99.43</v>
      </c>
    </row>
    <row r="1269" spans="1:22" x14ac:dyDescent="0.35">
      <c r="A1269" t="s">
        <v>27</v>
      </c>
      <c r="B1269">
        <v>1</v>
      </c>
      <c r="C1269">
        <v>5</v>
      </c>
      <c r="D1269">
        <v>5</v>
      </c>
      <c r="E1269" t="s">
        <v>29</v>
      </c>
      <c r="F1269">
        <v>200</v>
      </c>
      <c r="G1269">
        <v>3</v>
      </c>
      <c r="H1269">
        <v>16</v>
      </c>
      <c r="I1269" t="s">
        <v>23</v>
      </c>
      <c r="J1269" s="3">
        <v>250.633307</v>
      </c>
      <c r="K1269" s="3">
        <v>17499.967000000001</v>
      </c>
      <c r="L1269" s="3">
        <v>17499.967000000001</v>
      </c>
      <c r="M1269" s="3">
        <v>17499.967000000001</v>
      </c>
      <c r="N1269" s="3">
        <v>17499.967000000001</v>
      </c>
      <c r="O1269" s="4">
        <v>0</v>
      </c>
      <c r="P1269" s="4">
        <v>0</v>
      </c>
      <c r="Q1269" s="4">
        <v>0</v>
      </c>
      <c r="R1269" s="5">
        <v>2E-3</v>
      </c>
      <c r="S1269">
        <v>15</v>
      </c>
      <c r="T1269" t="b">
        <v>0</v>
      </c>
      <c r="U1269">
        <v>1</v>
      </c>
      <c r="V1269" s="4">
        <v>294.08</v>
      </c>
    </row>
    <row r="1270" spans="1:22" x14ac:dyDescent="0.35">
      <c r="A1270" t="s">
        <v>27</v>
      </c>
      <c r="B1270">
        <v>1</v>
      </c>
      <c r="C1270">
        <v>5</v>
      </c>
      <c r="D1270">
        <v>10</v>
      </c>
      <c r="E1270" t="s">
        <v>29</v>
      </c>
      <c r="F1270">
        <v>50</v>
      </c>
      <c r="G1270">
        <v>1</v>
      </c>
      <c r="H1270">
        <v>16</v>
      </c>
      <c r="I1270" t="s">
        <v>23</v>
      </c>
      <c r="J1270" s="3">
        <v>577.56970200000001</v>
      </c>
      <c r="K1270" s="3">
        <v>17560.769</v>
      </c>
      <c r="L1270" s="3">
        <v>21847.333999999999</v>
      </c>
      <c r="M1270" s="3">
        <v>17499.967000000001</v>
      </c>
      <c r="N1270" s="3">
        <v>17499.967000000001</v>
      </c>
      <c r="O1270" s="4">
        <v>0.34739999999999999</v>
      </c>
      <c r="P1270" s="4">
        <v>24.842099999999999</v>
      </c>
      <c r="Q1270" s="4">
        <v>0</v>
      </c>
      <c r="R1270" s="5">
        <v>2.1000000000000001E-2</v>
      </c>
      <c r="S1270">
        <v>24</v>
      </c>
      <c r="T1270" t="b">
        <v>0</v>
      </c>
      <c r="U1270">
        <v>19</v>
      </c>
      <c r="V1270" s="4">
        <v>33.83</v>
      </c>
    </row>
    <row r="1271" spans="1:22" x14ac:dyDescent="0.35">
      <c r="A1271" t="s">
        <v>27</v>
      </c>
      <c r="B1271">
        <v>1</v>
      </c>
      <c r="C1271">
        <v>5</v>
      </c>
      <c r="D1271">
        <v>10</v>
      </c>
      <c r="E1271" t="s">
        <v>29</v>
      </c>
      <c r="F1271">
        <v>50</v>
      </c>
      <c r="G1271">
        <v>3</v>
      </c>
      <c r="H1271">
        <v>16</v>
      </c>
      <c r="I1271" t="s">
        <v>23</v>
      </c>
      <c r="J1271" s="3">
        <v>360.899677</v>
      </c>
      <c r="K1271" s="3">
        <v>17499.967000000001</v>
      </c>
      <c r="L1271" s="3">
        <v>17499.967000000001</v>
      </c>
      <c r="M1271" s="3">
        <v>17499.967000000001</v>
      </c>
      <c r="N1271" s="3">
        <v>17499.967000000001</v>
      </c>
      <c r="O1271" s="4">
        <v>0</v>
      </c>
      <c r="P1271" s="4">
        <v>0</v>
      </c>
      <c r="Q1271" s="4">
        <v>0</v>
      </c>
      <c r="R1271" s="5">
        <v>7.0000000000000001E-3</v>
      </c>
      <c r="S1271">
        <v>24</v>
      </c>
      <c r="T1271" t="b">
        <v>0</v>
      </c>
      <c r="U1271">
        <v>1</v>
      </c>
      <c r="V1271" s="4">
        <v>98.46</v>
      </c>
    </row>
    <row r="1272" spans="1:22" x14ac:dyDescent="0.35">
      <c r="A1272" t="s">
        <v>27</v>
      </c>
      <c r="B1272">
        <v>1</v>
      </c>
      <c r="C1272">
        <v>5</v>
      </c>
      <c r="D1272">
        <v>10</v>
      </c>
      <c r="E1272" t="s">
        <v>29</v>
      </c>
      <c r="F1272">
        <v>200</v>
      </c>
      <c r="G1272">
        <v>1</v>
      </c>
      <c r="H1272">
        <v>16</v>
      </c>
      <c r="I1272" t="s">
        <v>23</v>
      </c>
      <c r="J1272" s="3">
        <v>504.72306300000002</v>
      </c>
      <c r="K1272" s="3">
        <v>17499.967000000001</v>
      </c>
      <c r="L1272" s="3">
        <v>21443.097000000002</v>
      </c>
      <c r="M1272" s="3">
        <v>17499.967000000001</v>
      </c>
      <c r="N1272" s="3">
        <v>17499.967000000001</v>
      </c>
      <c r="O1272" s="4">
        <v>0</v>
      </c>
      <c r="P1272" s="4">
        <v>22.5322</v>
      </c>
      <c r="Q1272" s="4">
        <v>0</v>
      </c>
      <c r="R1272" s="5">
        <v>1.47E-2</v>
      </c>
      <c r="S1272">
        <v>24</v>
      </c>
      <c r="T1272" t="b">
        <v>0</v>
      </c>
      <c r="U1272">
        <v>6</v>
      </c>
      <c r="V1272" s="4">
        <v>98.39</v>
      </c>
    </row>
    <row r="1273" spans="1:22" x14ac:dyDescent="0.35">
      <c r="A1273" t="s">
        <v>27</v>
      </c>
      <c r="B1273">
        <v>1</v>
      </c>
      <c r="C1273">
        <v>5</v>
      </c>
      <c r="D1273">
        <v>10</v>
      </c>
      <c r="E1273" t="s">
        <v>29</v>
      </c>
      <c r="F1273">
        <v>200</v>
      </c>
      <c r="G1273">
        <v>3</v>
      </c>
      <c r="H1273">
        <v>16</v>
      </c>
      <c r="I1273" t="s">
        <v>23</v>
      </c>
      <c r="J1273" s="3">
        <v>199.68877599999999</v>
      </c>
      <c r="K1273" s="3">
        <v>17499.967000000001</v>
      </c>
      <c r="L1273" s="3">
        <v>19580.759999999998</v>
      </c>
      <c r="M1273" s="3">
        <v>17499.967000000001</v>
      </c>
      <c r="N1273" s="3">
        <v>17499.967000000001</v>
      </c>
      <c r="O1273" s="4">
        <v>0</v>
      </c>
      <c r="P1273" s="4">
        <v>11.8903</v>
      </c>
      <c r="Q1273" s="4">
        <v>0</v>
      </c>
      <c r="R1273" s="5">
        <v>6.8599999999999994E-2</v>
      </c>
      <c r="S1273">
        <v>24</v>
      </c>
      <c r="T1273" t="b">
        <v>0</v>
      </c>
      <c r="U1273">
        <v>3</v>
      </c>
      <c r="V1273" s="4">
        <v>293.37</v>
      </c>
    </row>
    <row r="1274" spans="1:22" x14ac:dyDescent="0.35">
      <c r="A1274" t="s">
        <v>27</v>
      </c>
      <c r="B1274">
        <v>2</v>
      </c>
      <c r="C1274">
        <v>2</v>
      </c>
      <c r="D1274">
        <v>2</v>
      </c>
      <c r="E1274" t="s">
        <v>29</v>
      </c>
      <c r="F1274">
        <v>50</v>
      </c>
      <c r="G1274">
        <v>1</v>
      </c>
      <c r="H1274">
        <v>20</v>
      </c>
      <c r="I1274" t="s">
        <v>26</v>
      </c>
      <c r="J1274" s="3">
        <v>146.49952300000001</v>
      </c>
      <c r="K1274" s="3">
        <v>19703.163</v>
      </c>
      <c r="L1274" s="3">
        <v>23762.920999999998</v>
      </c>
      <c r="M1274" s="3">
        <v>19703.163</v>
      </c>
      <c r="N1274" s="3">
        <v>19642.361000000001</v>
      </c>
      <c r="O1274" s="4">
        <v>0.3095</v>
      </c>
      <c r="P1274" s="4">
        <v>20.977900000000002</v>
      </c>
      <c r="Q1274" s="4">
        <v>0.3095</v>
      </c>
      <c r="R1274" s="5">
        <v>2.9999999999999997E-4</v>
      </c>
      <c r="S1274">
        <v>3</v>
      </c>
      <c r="T1274" t="b">
        <v>0</v>
      </c>
      <c r="U1274">
        <v>3</v>
      </c>
      <c r="V1274" s="4">
        <v>35.61</v>
      </c>
    </row>
    <row r="1275" spans="1:22" x14ac:dyDescent="0.35">
      <c r="A1275" t="s">
        <v>27</v>
      </c>
      <c r="B1275">
        <v>2</v>
      </c>
      <c r="C1275">
        <v>2</v>
      </c>
      <c r="D1275">
        <v>2</v>
      </c>
      <c r="E1275" t="s">
        <v>29</v>
      </c>
      <c r="F1275">
        <v>50</v>
      </c>
      <c r="G1275">
        <v>3</v>
      </c>
      <c r="H1275">
        <v>20</v>
      </c>
      <c r="I1275" t="s">
        <v>26</v>
      </c>
      <c r="J1275" s="3">
        <v>48.361113000000003</v>
      </c>
      <c r="K1275" s="3">
        <v>19642.361000000001</v>
      </c>
      <c r="L1275" s="3">
        <v>21435.544999999998</v>
      </c>
      <c r="M1275" s="3">
        <v>19642.361000000001</v>
      </c>
      <c r="N1275" s="3">
        <v>19642.361000000001</v>
      </c>
      <c r="O1275" s="4">
        <v>0</v>
      </c>
      <c r="P1275" s="4">
        <v>9.1292000000000009</v>
      </c>
      <c r="Q1275" s="4">
        <v>0</v>
      </c>
      <c r="R1275" s="5">
        <v>8.0000000000000002E-3</v>
      </c>
      <c r="S1275">
        <v>30</v>
      </c>
      <c r="T1275" t="b">
        <v>0</v>
      </c>
      <c r="U1275">
        <v>3</v>
      </c>
      <c r="V1275" s="4">
        <v>104.88</v>
      </c>
    </row>
    <row r="1276" spans="1:22" x14ac:dyDescent="0.35">
      <c r="A1276" t="s">
        <v>27</v>
      </c>
      <c r="B1276">
        <v>2</v>
      </c>
      <c r="C1276">
        <v>2</v>
      </c>
      <c r="D1276">
        <v>2</v>
      </c>
      <c r="E1276" t="s">
        <v>29</v>
      </c>
      <c r="F1276">
        <v>200</v>
      </c>
      <c r="G1276">
        <v>1</v>
      </c>
      <c r="H1276">
        <v>20</v>
      </c>
      <c r="I1276" t="s">
        <v>26</v>
      </c>
      <c r="J1276" s="3">
        <v>145.553574</v>
      </c>
      <c r="K1276" s="3" t="s">
        <v>24</v>
      </c>
      <c r="L1276" s="3" t="s">
        <v>24</v>
      </c>
      <c r="M1276" s="3" t="s">
        <v>24</v>
      </c>
      <c r="N1276" s="3">
        <v>19642.361000000001</v>
      </c>
      <c r="O1276" s="4"/>
      <c r="P1276" s="4"/>
      <c r="Q1276" s="4"/>
      <c r="R1276" s="5">
        <v>0</v>
      </c>
      <c r="S1276">
        <v>0</v>
      </c>
      <c r="T1276" t="b">
        <v>1</v>
      </c>
      <c r="U1276">
        <v>-1</v>
      </c>
      <c r="V1276" s="4">
        <v>106.61</v>
      </c>
    </row>
    <row r="1277" spans="1:22" x14ac:dyDescent="0.35">
      <c r="A1277" t="s">
        <v>27</v>
      </c>
      <c r="B1277">
        <v>2</v>
      </c>
      <c r="C1277">
        <v>2</v>
      </c>
      <c r="D1277">
        <v>2</v>
      </c>
      <c r="E1277" t="s">
        <v>29</v>
      </c>
      <c r="F1277">
        <v>200</v>
      </c>
      <c r="G1277">
        <v>3</v>
      </c>
      <c r="H1277">
        <v>20</v>
      </c>
      <c r="I1277" t="s">
        <v>26</v>
      </c>
      <c r="J1277" s="3">
        <v>51.726137999999999</v>
      </c>
      <c r="K1277" s="3">
        <v>19703.163</v>
      </c>
      <c r="L1277" s="3">
        <v>23762.920999999998</v>
      </c>
      <c r="M1277" s="3">
        <v>19642.361000000001</v>
      </c>
      <c r="N1277" s="3">
        <v>19642.361000000001</v>
      </c>
      <c r="O1277" s="4">
        <v>0.3095</v>
      </c>
      <c r="P1277" s="4">
        <v>20.977900000000002</v>
      </c>
      <c r="Q1277" s="4">
        <v>0</v>
      </c>
      <c r="R1277" s="5">
        <v>3.0000000000000001E-3</v>
      </c>
      <c r="S1277">
        <v>19</v>
      </c>
      <c r="T1277" t="b">
        <v>0</v>
      </c>
      <c r="U1277">
        <v>14</v>
      </c>
      <c r="V1277" s="4">
        <v>302.95999999999998</v>
      </c>
    </row>
    <row r="1278" spans="1:22" x14ac:dyDescent="0.35">
      <c r="A1278" t="s">
        <v>27</v>
      </c>
      <c r="B1278">
        <v>2</v>
      </c>
      <c r="C1278">
        <v>2</v>
      </c>
      <c r="D1278">
        <v>5</v>
      </c>
      <c r="E1278" t="s">
        <v>29</v>
      </c>
      <c r="F1278">
        <v>50</v>
      </c>
      <c r="G1278">
        <v>1</v>
      </c>
      <c r="H1278">
        <v>20</v>
      </c>
      <c r="I1278" t="s">
        <v>26</v>
      </c>
      <c r="J1278" s="3">
        <v>357.61068599999999</v>
      </c>
      <c r="K1278" s="3">
        <v>19642.361000000001</v>
      </c>
      <c r="L1278" s="3">
        <v>25782.912</v>
      </c>
      <c r="M1278" s="3">
        <v>19642.361000000001</v>
      </c>
      <c r="N1278" s="3">
        <v>19642.361000000001</v>
      </c>
      <c r="O1278" s="4">
        <v>0</v>
      </c>
      <c r="P1278" s="4">
        <v>31.261800000000001</v>
      </c>
      <c r="Q1278" s="4">
        <v>0</v>
      </c>
      <c r="R1278" s="5">
        <v>5.0000000000000001E-4</v>
      </c>
      <c r="S1278">
        <v>5</v>
      </c>
      <c r="T1278" t="b">
        <v>0</v>
      </c>
      <c r="U1278">
        <v>2</v>
      </c>
      <c r="V1278" s="4">
        <v>35.979999999999997</v>
      </c>
    </row>
    <row r="1279" spans="1:22" x14ac:dyDescent="0.35">
      <c r="A1279" t="s">
        <v>27</v>
      </c>
      <c r="B1279">
        <v>2</v>
      </c>
      <c r="C1279">
        <v>2</v>
      </c>
      <c r="D1279">
        <v>5</v>
      </c>
      <c r="E1279" t="s">
        <v>29</v>
      </c>
      <c r="F1279">
        <v>50</v>
      </c>
      <c r="G1279">
        <v>3</v>
      </c>
      <c r="H1279">
        <v>20</v>
      </c>
      <c r="I1279" t="s">
        <v>26</v>
      </c>
      <c r="J1279" s="3">
        <v>113.02753300000001</v>
      </c>
      <c r="K1279" s="3">
        <v>19642.361000000001</v>
      </c>
      <c r="L1279" s="3">
        <v>23646.293000000001</v>
      </c>
      <c r="M1279" s="3">
        <v>19642.361000000001</v>
      </c>
      <c r="N1279" s="3">
        <v>19642.361000000001</v>
      </c>
      <c r="O1279" s="4">
        <v>0</v>
      </c>
      <c r="P1279" s="4">
        <v>20.3842</v>
      </c>
      <c r="Q1279" s="4">
        <v>0</v>
      </c>
      <c r="R1279" s="5">
        <v>7.7999999999999996E-3</v>
      </c>
      <c r="S1279">
        <v>31</v>
      </c>
      <c r="T1279" t="b">
        <v>0</v>
      </c>
      <c r="U1279">
        <v>26</v>
      </c>
      <c r="V1279" s="4">
        <v>105.08</v>
      </c>
    </row>
    <row r="1280" spans="1:22" x14ac:dyDescent="0.35">
      <c r="A1280" t="s">
        <v>27</v>
      </c>
      <c r="B1280">
        <v>2</v>
      </c>
      <c r="C1280">
        <v>2</v>
      </c>
      <c r="D1280">
        <v>5</v>
      </c>
      <c r="E1280" t="s">
        <v>29</v>
      </c>
      <c r="F1280">
        <v>200</v>
      </c>
      <c r="G1280">
        <v>1</v>
      </c>
      <c r="H1280">
        <v>20</v>
      </c>
      <c r="I1280" t="s">
        <v>26</v>
      </c>
      <c r="J1280" s="3">
        <v>357.413453</v>
      </c>
      <c r="K1280" s="3">
        <v>19642.361000000001</v>
      </c>
      <c r="L1280" s="3">
        <v>19642.361000000001</v>
      </c>
      <c r="M1280" s="3">
        <v>19642.361000000001</v>
      </c>
      <c r="N1280" s="3">
        <v>19642.361000000001</v>
      </c>
      <c r="O1280" s="4">
        <v>0</v>
      </c>
      <c r="P1280" s="4">
        <v>0</v>
      </c>
      <c r="Q1280" s="4">
        <v>0</v>
      </c>
      <c r="R1280" s="5">
        <v>6.9999999999999999E-4</v>
      </c>
      <c r="S1280">
        <v>7</v>
      </c>
      <c r="T1280" t="b">
        <v>0</v>
      </c>
      <c r="U1280">
        <v>1</v>
      </c>
      <c r="V1280" s="4">
        <v>123.53</v>
      </c>
    </row>
    <row r="1281" spans="1:22" x14ac:dyDescent="0.35">
      <c r="A1281" t="s">
        <v>27</v>
      </c>
      <c r="B1281">
        <v>2</v>
      </c>
      <c r="C1281">
        <v>2</v>
      </c>
      <c r="D1281">
        <v>5</v>
      </c>
      <c r="E1281" t="s">
        <v>29</v>
      </c>
      <c r="F1281">
        <v>200</v>
      </c>
      <c r="G1281">
        <v>3</v>
      </c>
      <c r="H1281">
        <v>20</v>
      </c>
      <c r="I1281" t="s">
        <v>26</v>
      </c>
      <c r="J1281" s="3">
        <v>121.62718599999999</v>
      </c>
      <c r="K1281" s="3">
        <v>19703.163</v>
      </c>
      <c r="L1281" s="3">
        <v>23762.920999999998</v>
      </c>
      <c r="M1281" s="3">
        <v>19703.163</v>
      </c>
      <c r="N1281" s="3">
        <v>19642.361000000001</v>
      </c>
      <c r="O1281" s="4">
        <v>0.3095</v>
      </c>
      <c r="P1281" s="4">
        <v>20.977900000000002</v>
      </c>
      <c r="Q1281" s="4">
        <v>0.3095</v>
      </c>
      <c r="R1281" s="5">
        <v>5.4000000000000003E-3</v>
      </c>
      <c r="S1281">
        <v>29</v>
      </c>
      <c r="T1281" t="b">
        <v>0</v>
      </c>
      <c r="U1281">
        <v>11</v>
      </c>
      <c r="V1281" s="4">
        <v>325.33999999999997</v>
      </c>
    </row>
    <row r="1282" spans="1:22" x14ac:dyDescent="0.35">
      <c r="A1282" t="s">
        <v>27</v>
      </c>
      <c r="B1282">
        <v>2</v>
      </c>
      <c r="C1282">
        <v>2</v>
      </c>
      <c r="D1282">
        <v>10</v>
      </c>
      <c r="E1282" t="s">
        <v>29</v>
      </c>
      <c r="F1282">
        <v>50</v>
      </c>
      <c r="G1282">
        <v>1</v>
      </c>
      <c r="H1282">
        <v>20</v>
      </c>
      <c r="I1282" t="s">
        <v>26</v>
      </c>
      <c r="J1282" s="3">
        <v>720.22012400000006</v>
      </c>
      <c r="K1282" s="3">
        <v>19642.361000000001</v>
      </c>
      <c r="L1282" s="3">
        <v>23358.684000000001</v>
      </c>
      <c r="M1282" s="3">
        <v>19642.361000000001</v>
      </c>
      <c r="N1282" s="3">
        <v>19642.361000000001</v>
      </c>
      <c r="O1282" s="4">
        <v>0</v>
      </c>
      <c r="P1282" s="4">
        <v>18.919899999999998</v>
      </c>
      <c r="Q1282" s="4">
        <v>0</v>
      </c>
      <c r="R1282" s="5">
        <v>2.0000000000000001E-4</v>
      </c>
      <c r="S1282">
        <v>2</v>
      </c>
      <c r="T1282" t="b">
        <v>0</v>
      </c>
      <c r="U1282">
        <v>2</v>
      </c>
      <c r="V1282" s="4">
        <v>35.71</v>
      </c>
    </row>
    <row r="1283" spans="1:22" x14ac:dyDescent="0.35">
      <c r="A1283" t="s">
        <v>27</v>
      </c>
      <c r="B1283">
        <v>2</v>
      </c>
      <c r="C1283">
        <v>2</v>
      </c>
      <c r="D1283">
        <v>10</v>
      </c>
      <c r="E1283" t="s">
        <v>29</v>
      </c>
      <c r="F1283">
        <v>50</v>
      </c>
      <c r="G1283">
        <v>3</v>
      </c>
      <c r="H1283">
        <v>20</v>
      </c>
      <c r="I1283" t="s">
        <v>26</v>
      </c>
      <c r="J1283" s="3">
        <v>230.08610899999999</v>
      </c>
      <c r="K1283" s="3">
        <v>19642.361000000001</v>
      </c>
      <c r="L1283" s="3">
        <v>21435.544999999998</v>
      </c>
      <c r="M1283" s="3">
        <v>19642.361000000001</v>
      </c>
      <c r="N1283" s="3">
        <v>19642.361000000001</v>
      </c>
      <c r="O1283" s="4">
        <v>0</v>
      </c>
      <c r="P1283" s="4">
        <v>9.1292000000000009</v>
      </c>
      <c r="Q1283" s="4">
        <v>0</v>
      </c>
      <c r="R1283" s="5">
        <v>3.7000000000000002E-3</v>
      </c>
      <c r="S1283">
        <v>22</v>
      </c>
      <c r="T1283" t="b">
        <v>0</v>
      </c>
      <c r="U1283">
        <v>7</v>
      </c>
      <c r="V1283" s="4">
        <v>105.18</v>
      </c>
    </row>
    <row r="1284" spans="1:22" x14ac:dyDescent="0.35">
      <c r="A1284" t="s">
        <v>27</v>
      </c>
      <c r="B1284">
        <v>2</v>
      </c>
      <c r="C1284">
        <v>2</v>
      </c>
      <c r="D1284">
        <v>10</v>
      </c>
      <c r="E1284" t="s">
        <v>29</v>
      </c>
      <c r="F1284">
        <v>200</v>
      </c>
      <c r="G1284">
        <v>1</v>
      </c>
      <c r="H1284">
        <v>20</v>
      </c>
      <c r="I1284" t="s">
        <v>26</v>
      </c>
      <c r="J1284" s="3">
        <v>724.68359499999997</v>
      </c>
      <c r="K1284" s="3" t="s">
        <v>24</v>
      </c>
      <c r="L1284" s="3" t="s">
        <v>24</v>
      </c>
      <c r="M1284" s="3" t="s">
        <v>24</v>
      </c>
      <c r="N1284" s="3">
        <v>19642.361000000001</v>
      </c>
      <c r="O1284" s="4"/>
      <c r="P1284" s="4"/>
      <c r="Q1284" s="4"/>
      <c r="R1284" s="5">
        <v>0</v>
      </c>
      <c r="S1284">
        <v>0</v>
      </c>
      <c r="T1284" t="b">
        <v>1</v>
      </c>
      <c r="U1284">
        <v>-1</v>
      </c>
      <c r="V1284" s="4">
        <v>106.71</v>
      </c>
    </row>
    <row r="1285" spans="1:22" x14ac:dyDescent="0.35">
      <c r="A1285" t="s">
        <v>27</v>
      </c>
      <c r="B1285">
        <v>2</v>
      </c>
      <c r="C1285">
        <v>2</v>
      </c>
      <c r="D1285">
        <v>10</v>
      </c>
      <c r="E1285" t="s">
        <v>29</v>
      </c>
      <c r="F1285">
        <v>200</v>
      </c>
      <c r="G1285">
        <v>3</v>
      </c>
      <c r="H1285">
        <v>20</v>
      </c>
      <c r="I1285" t="s">
        <v>26</v>
      </c>
      <c r="J1285" s="3">
        <v>229.121768</v>
      </c>
      <c r="K1285" s="3">
        <v>21435.544999999998</v>
      </c>
      <c r="L1285" s="3">
        <v>21723.153999999999</v>
      </c>
      <c r="M1285" s="3">
        <v>19642.361000000001</v>
      </c>
      <c r="N1285" s="3">
        <v>19642.361000000001</v>
      </c>
      <c r="O1285" s="4">
        <v>9.1292000000000009</v>
      </c>
      <c r="P1285" s="4">
        <v>10.593400000000001</v>
      </c>
      <c r="Q1285" s="4">
        <v>0</v>
      </c>
      <c r="R1285" s="5">
        <v>5.1999999999999998E-3</v>
      </c>
      <c r="S1285">
        <v>28</v>
      </c>
      <c r="T1285" t="b">
        <v>0</v>
      </c>
      <c r="U1285">
        <v>26</v>
      </c>
      <c r="V1285" s="4">
        <v>303.26</v>
      </c>
    </row>
    <row r="1286" spans="1:22" x14ac:dyDescent="0.35">
      <c r="A1286" t="s">
        <v>27</v>
      </c>
      <c r="B1286">
        <v>2</v>
      </c>
      <c r="C1286">
        <v>5</v>
      </c>
      <c r="D1286">
        <v>2</v>
      </c>
      <c r="E1286" t="s">
        <v>29</v>
      </c>
      <c r="F1286">
        <v>50</v>
      </c>
      <c r="G1286">
        <v>1</v>
      </c>
      <c r="H1286">
        <v>20</v>
      </c>
      <c r="I1286" t="s">
        <v>26</v>
      </c>
      <c r="J1286" s="3">
        <v>147.79792</v>
      </c>
      <c r="K1286" s="3">
        <v>23358.684000000001</v>
      </c>
      <c r="L1286" s="3">
        <v>23358.684000000001</v>
      </c>
      <c r="M1286" s="3">
        <v>23358.684000000001</v>
      </c>
      <c r="N1286" s="3">
        <v>19642.361000000001</v>
      </c>
      <c r="O1286" s="4">
        <v>18.919899999999998</v>
      </c>
      <c r="P1286" s="4">
        <v>18.919899999999998</v>
      </c>
      <c r="Q1286" s="4">
        <v>18.919899999999998</v>
      </c>
      <c r="R1286" s="5">
        <v>1E-4</v>
      </c>
      <c r="S1286">
        <v>1</v>
      </c>
      <c r="T1286" t="b">
        <v>0</v>
      </c>
      <c r="U1286">
        <v>1</v>
      </c>
      <c r="V1286" s="4">
        <v>59.08</v>
      </c>
    </row>
    <row r="1287" spans="1:22" x14ac:dyDescent="0.35">
      <c r="A1287" t="s">
        <v>27</v>
      </c>
      <c r="B1287">
        <v>2</v>
      </c>
      <c r="C1287">
        <v>5</v>
      </c>
      <c r="D1287">
        <v>2</v>
      </c>
      <c r="E1287" t="s">
        <v>29</v>
      </c>
      <c r="F1287">
        <v>50</v>
      </c>
      <c r="G1287">
        <v>3</v>
      </c>
      <c r="H1287">
        <v>20</v>
      </c>
      <c r="I1287" t="s">
        <v>26</v>
      </c>
      <c r="J1287" s="3">
        <v>145.028548</v>
      </c>
      <c r="K1287" s="3" t="s">
        <v>24</v>
      </c>
      <c r="L1287" s="3" t="s">
        <v>24</v>
      </c>
      <c r="M1287" s="3" t="s">
        <v>24</v>
      </c>
      <c r="N1287" s="3">
        <v>19642.361000000001</v>
      </c>
      <c r="O1287" s="4"/>
      <c r="P1287" s="4"/>
      <c r="Q1287" s="4"/>
      <c r="R1287" s="5">
        <v>0</v>
      </c>
      <c r="S1287">
        <v>0</v>
      </c>
      <c r="T1287" t="b">
        <v>1</v>
      </c>
      <c r="U1287">
        <v>-1</v>
      </c>
      <c r="V1287" s="4">
        <v>174.85</v>
      </c>
    </row>
    <row r="1288" spans="1:22" x14ac:dyDescent="0.35">
      <c r="A1288" t="s">
        <v>27</v>
      </c>
      <c r="B1288">
        <v>2</v>
      </c>
      <c r="C1288">
        <v>5</v>
      </c>
      <c r="D1288">
        <v>2</v>
      </c>
      <c r="E1288" t="s">
        <v>29</v>
      </c>
      <c r="F1288">
        <v>200</v>
      </c>
      <c r="G1288">
        <v>1</v>
      </c>
      <c r="H1288">
        <v>20</v>
      </c>
      <c r="I1288" t="s">
        <v>26</v>
      </c>
      <c r="J1288" s="3">
        <v>151.29954799999999</v>
      </c>
      <c r="K1288" s="3">
        <v>23585.491000000002</v>
      </c>
      <c r="L1288" s="3">
        <v>23585.491000000002</v>
      </c>
      <c r="M1288" s="3">
        <v>23585.491000000002</v>
      </c>
      <c r="N1288" s="3">
        <v>19642.361000000001</v>
      </c>
      <c r="O1288" s="4">
        <v>20.0746</v>
      </c>
      <c r="P1288" s="4">
        <v>20.0746</v>
      </c>
      <c r="Q1288" s="4">
        <v>20.0746</v>
      </c>
      <c r="R1288" s="5">
        <v>1E-4</v>
      </c>
      <c r="S1288">
        <v>1</v>
      </c>
      <c r="T1288" t="b">
        <v>0</v>
      </c>
      <c r="U1288">
        <v>1</v>
      </c>
      <c r="V1288" s="4">
        <v>183.75</v>
      </c>
    </row>
    <row r="1289" spans="1:22" x14ac:dyDescent="0.35">
      <c r="A1289" t="s">
        <v>27</v>
      </c>
      <c r="B1289">
        <v>2</v>
      </c>
      <c r="C1289">
        <v>5</v>
      </c>
      <c r="D1289">
        <v>2</v>
      </c>
      <c r="E1289" t="s">
        <v>29</v>
      </c>
      <c r="F1289">
        <v>200</v>
      </c>
      <c r="G1289">
        <v>3</v>
      </c>
      <c r="H1289">
        <v>20</v>
      </c>
      <c r="I1289" t="s">
        <v>26</v>
      </c>
      <c r="J1289" s="3">
        <v>32.929923000000002</v>
      </c>
      <c r="K1289" s="3">
        <v>19642.361000000001</v>
      </c>
      <c r="L1289" s="3">
        <v>23646.293000000001</v>
      </c>
      <c r="M1289" s="3">
        <v>19642.361000000001</v>
      </c>
      <c r="N1289" s="3">
        <v>19642.361000000001</v>
      </c>
      <c r="O1289" s="4">
        <v>0</v>
      </c>
      <c r="P1289" s="4">
        <v>20.3842</v>
      </c>
      <c r="Q1289" s="4">
        <v>0</v>
      </c>
      <c r="R1289" s="5">
        <v>9.3700000000000006E-2</v>
      </c>
      <c r="S1289">
        <v>36</v>
      </c>
      <c r="T1289" t="b">
        <v>0</v>
      </c>
      <c r="U1289">
        <v>6</v>
      </c>
      <c r="V1289" s="4">
        <v>554.53</v>
      </c>
    </row>
    <row r="1290" spans="1:22" x14ac:dyDescent="0.35">
      <c r="A1290" t="s">
        <v>27</v>
      </c>
      <c r="B1290">
        <v>2</v>
      </c>
      <c r="C1290">
        <v>5</v>
      </c>
      <c r="D1290">
        <v>5</v>
      </c>
      <c r="E1290" t="s">
        <v>29</v>
      </c>
      <c r="F1290">
        <v>50</v>
      </c>
      <c r="G1290">
        <v>1</v>
      </c>
      <c r="H1290">
        <v>20</v>
      </c>
      <c r="I1290" t="s">
        <v>26</v>
      </c>
      <c r="J1290" s="3">
        <v>395.17641400000002</v>
      </c>
      <c r="K1290" s="3">
        <v>23646.293000000001</v>
      </c>
      <c r="L1290" s="3">
        <v>23646.293000000001</v>
      </c>
      <c r="M1290" s="3">
        <v>23646.293000000001</v>
      </c>
      <c r="N1290" s="3">
        <v>19642.361000000001</v>
      </c>
      <c r="O1290" s="4">
        <v>20.3842</v>
      </c>
      <c r="P1290" s="4">
        <v>20.3842</v>
      </c>
      <c r="Q1290" s="4">
        <v>20.3842</v>
      </c>
      <c r="R1290" s="5">
        <v>1E-4</v>
      </c>
      <c r="S1290">
        <v>1</v>
      </c>
      <c r="T1290" t="b">
        <v>0</v>
      </c>
      <c r="U1290">
        <v>1</v>
      </c>
      <c r="V1290" s="4">
        <v>61.09</v>
      </c>
    </row>
    <row r="1291" spans="1:22" x14ac:dyDescent="0.35">
      <c r="A1291" t="s">
        <v>27</v>
      </c>
      <c r="B1291">
        <v>2</v>
      </c>
      <c r="C1291">
        <v>5</v>
      </c>
      <c r="D1291">
        <v>5</v>
      </c>
      <c r="E1291" t="s">
        <v>29</v>
      </c>
      <c r="F1291">
        <v>50</v>
      </c>
      <c r="G1291">
        <v>3</v>
      </c>
      <c r="H1291">
        <v>20</v>
      </c>
      <c r="I1291" t="s">
        <v>26</v>
      </c>
      <c r="J1291" s="3">
        <v>375.79584299999999</v>
      </c>
      <c r="K1291" s="3" t="s">
        <v>24</v>
      </c>
      <c r="L1291" s="3" t="s">
        <v>24</v>
      </c>
      <c r="M1291" s="3" t="s">
        <v>24</v>
      </c>
      <c r="N1291" s="3">
        <v>19642.361000000001</v>
      </c>
      <c r="O1291" s="4"/>
      <c r="P1291" s="4"/>
      <c r="Q1291" s="4"/>
      <c r="R1291" s="5">
        <v>0</v>
      </c>
      <c r="S1291">
        <v>0</v>
      </c>
      <c r="T1291" t="b">
        <v>1</v>
      </c>
      <c r="U1291">
        <v>-1</v>
      </c>
      <c r="V1291" s="4">
        <v>185.49</v>
      </c>
    </row>
    <row r="1292" spans="1:22" x14ac:dyDescent="0.35">
      <c r="A1292" t="s">
        <v>27</v>
      </c>
      <c r="B1292">
        <v>2</v>
      </c>
      <c r="C1292">
        <v>5</v>
      </c>
      <c r="D1292">
        <v>5</v>
      </c>
      <c r="E1292" t="s">
        <v>29</v>
      </c>
      <c r="F1292">
        <v>200</v>
      </c>
      <c r="G1292">
        <v>1</v>
      </c>
      <c r="H1292">
        <v>20</v>
      </c>
      <c r="I1292" t="s">
        <v>26</v>
      </c>
      <c r="J1292" s="3">
        <v>373.92454500000002</v>
      </c>
      <c r="K1292" s="3" t="s">
        <v>24</v>
      </c>
      <c r="L1292" s="3" t="s">
        <v>24</v>
      </c>
      <c r="M1292" s="3" t="s">
        <v>24</v>
      </c>
      <c r="N1292" s="3">
        <v>19642.361000000001</v>
      </c>
      <c r="O1292" s="4"/>
      <c r="P1292" s="4"/>
      <c r="Q1292" s="4"/>
      <c r="R1292" s="5">
        <v>0</v>
      </c>
      <c r="S1292">
        <v>0</v>
      </c>
      <c r="T1292" t="b">
        <v>1</v>
      </c>
      <c r="U1292">
        <v>-1</v>
      </c>
      <c r="V1292" s="4">
        <v>186.77</v>
      </c>
    </row>
    <row r="1293" spans="1:22" x14ac:dyDescent="0.35">
      <c r="A1293" t="s">
        <v>27</v>
      </c>
      <c r="B1293">
        <v>2</v>
      </c>
      <c r="C1293">
        <v>5</v>
      </c>
      <c r="D1293">
        <v>5</v>
      </c>
      <c r="E1293" t="s">
        <v>29</v>
      </c>
      <c r="F1293">
        <v>200</v>
      </c>
      <c r="G1293">
        <v>3</v>
      </c>
      <c r="H1293">
        <v>20</v>
      </c>
      <c r="I1293" t="s">
        <v>26</v>
      </c>
      <c r="J1293" s="3">
        <v>68.811453</v>
      </c>
      <c r="K1293" s="3">
        <v>21435.544999999998</v>
      </c>
      <c r="L1293" s="3">
        <v>23585.491000000002</v>
      </c>
      <c r="M1293" s="3">
        <v>19642.361000000001</v>
      </c>
      <c r="N1293" s="3">
        <v>19642.361000000001</v>
      </c>
      <c r="O1293" s="4">
        <v>9.1292000000000009</v>
      </c>
      <c r="P1293" s="4">
        <v>20.0746</v>
      </c>
      <c r="Q1293" s="4">
        <v>0</v>
      </c>
      <c r="R1293" s="5">
        <v>0.1386</v>
      </c>
      <c r="S1293">
        <v>36</v>
      </c>
      <c r="T1293" t="b">
        <v>0</v>
      </c>
      <c r="U1293">
        <v>32</v>
      </c>
      <c r="V1293" s="4">
        <v>552.84</v>
      </c>
    </row>
    <row r="1294" spans="1:22" x14ac:dyDescent="0.35">
      <c r="A1294" t="s">
        <v>27</v>
      </c>
      <c r="B1294">
        <v>2</v>
      </c>
      <c r="C1294">
        <v>5</v>
      </c>
      <c r="D1294">
        <v>10</v>
      </c>
      <c r="E1294" t="s">
        <v>29</v>
      </c>
      <c r="F1294">
        <v>50</v>
      </c>
      <c r="G1294">
        <v>1</v>
      </c>
      <c r="H1294">
        <v>20</v>
      </c>
      <c r="I1294" t="s">
        <v>26</v>
      </c>
      <c r="J1294" s="3">
        <v>795.515311</v>
      </c>
      <c r="K1294" s="3" t="s">
        <v>24</v>
      </c>
      <c r="L1294" s="3" t="s">
        <v>24</v>
      </c>
      <c r="M1294" s="3" t="s">
        <v>24</v>
      </c>
      <c r="N1294" s="3">
        <v>19642.361000000001</v>
      </c>
      <c r="O1294" s="4"/>
      <c r="P1294" s="4"/>
      <c r="Q1294" s="4"/>
      <c r="R1294" s="5">
        <v>0</v>
      </c>
      <c r="S1294">
        <v>0</v>
      </c>
      <c r="T1294" t="b">
        <v>1</v>
      </c>
      <c r="U1294">
        <v>-1</v>
      </c>
      <c r="V1294" s="4">
        <v>61.85</v>
      </c>
    </row>
    <row r="1295" spans="1:22" x14ac:dyDescent="0.35">
      <c r="A1295" t="s">
        <v>27</v>
      </c>
      <c r="B1295">
        <v>2</v>
      </c>
      <c r="C1295">
        <v>5</v>
      </c>
      <c r="D1295">
        <v>10</v>
      </c>
      <c r="E1295" t="s">
        <v>29</v>
      </c>
      <c r="F1295">
        <v>50</v>
      </c>
      <c r="G1295">
        <v>3</v>
      </c>
      <c r="H1295">
        <v>20</v>
      </c>
      <c r="I1295" t="s">
        <v>26</v>
      </c>
      <c r="J1295" s="3">
        <v>745.85551499999997</v>
      </c>
      <c r="K1295" s="3" t="s">
        <v>24</v>
      </c>
      <c r="L1295" s="3" t="s">
        <v>24</v>
      </c>
      <c r="M1295" s="3" t="s">
        <v>24</v>
      </c>
      <c r="N1295" s="3">
        <v>19642.361000000001</v>
      </c>
      <c r="O1295" s="4"/>
      <c r="P1295" s="4"/>
      <c r="Q1295" s="4"/>
      <c r="R1295" s="5">
        <v>0</v>
      </c>
      <c r="S1295">
        <v>0</v>
      </c>
      <c r="T1295" t="b">
        <v>1</v>
      </c>
      <c r="U1295">
        <v>-1</v>
      </c>
      <c r="V1295" s="4">
        <v>194.57</v>
      </c>
    </row>
    <row r="1296" spans="1:22" x14ac:dyDescent="0.35">
      <c r="A1296" t="s">
        <v>27</v>
      </c>
      <c r="B1296">
        <v>2</v>
      </c>
      <c r="C1296">
        <v>5</v>
      </c>
      <c r="D1296">
        <v>10</v>
      </c>
      <c r="E1296" t="s">
        <v>29</v>
      </c>
      <c r="F1296">
        <v>200</v>
      </c>
      <c r="G1296">
        <v>1</v>
      </c>
      <c r="H1296">
        <v>20</v>
      </c>
      <c r="I1296" t="s">
        <v>26</v>
      </c>
      <c r="J1296" s="3">
        <v>746.00699699999996</v>
      </c>
      <c r="K1296" s="3">
        <v>19703.163</v>
      </c>
      <c r="L1296" s="3">
        <v>25495.303</v>
      </c>
      <c r="M1296" s="3">
        <v>19703.163</v>
      </c>
      <c r="N1296" s="3">
        <v>19642.361000000001</v>
      </c>
      <c r="O1296" s="4">
        <v>0.3095</v>
      </c>
      <c r="P1296" s="4">
        <v>29.797499999999999</v>
      </c>
      <c r="Q1296" s="4">
        <v>0.3095</v>
      </c>
      <c r="R1296" s="5">
        <v>2.0000000000000001E-4</v>
      </c>
      <c r="S1296">
        <v>2</v>
      </c>
      <c r="T1296" t="b">
        <v>0</v>
      </c>
      <c r="U1296">
        <v>2</v>
      </c>
      <c r="V1296" s="4">
        <v>185.35</v>
      </c>
    </row>
    <row r="1297" spans="1:22" x14ac:dyDescent="0.35">
      <c r="A1297" t="s">
        <v>27</v>
      </c>
      <c r="B1297">
        <v>2</v>
      </c>
      <c r="C1297">
        <v>5</v>
      </c>
      <c r="D1297">
        <v>10</v>
      </c>
      <c r="E1297" t="s">
        <v>29</v>
      </c>
      <c r="F1297">
        <v>200</v>
      </c>
      <c r="G1297">
        <v>3</v>
      </c>
      <c r="H1297">
        <v>20</v>
      </c>
      <c r="I1297" t="s">
        <v>26</v>
      </c>
      <c r="J1297" s="3">
        <v>141.32676000000001</v>
      </c>
      <c r="K1297" s="3">
        <v>19642.361000000001</v>
      </c>
      <c r="L1297" s="3">
        <v>25782.912</v>
      </c>
      <c r="M1297" s="3">
        <v>19642.361000000001</v>
      </c>
      <c r="N1297" s="3">
        <v>19642.361000000001</v>
      </c>
      <c r="O1297" s="4">
        <v>0</v>
      </c>
      <c r="P1297" s="4">
        <v>31.261800000000001</v>
      </c>
      <c r="Q1297" s="4">
        <v>0</v>
      </c>
      <c r="R1297" s="5">
        <v>7.3300000000000004E-2</v>
      </c>
      <c r="S1297">
        <v>36</v>
      </c>
      <c r="T1297" t="b">
        <v>0</v>
      </c>
      <c r="U1297">
        <v>9</v>
      </c>
      <c r="V1297" s="4">
        <v>551.69000000000005</v>
      </c>
    </row>
    <row r="1298" spans="1:22" x14ac:dyDescent="0.35">
      <c r="A1298" t="s">
        <v>27</v>
      </c>
      <c r="B1298">
        <v>3</v>
      </c>
      <c r="C1298">
        <v>2</v>
      </c>
      <c r="D1298">
        <v>2</v>
      </c>
      <c r="E1298" t="s">
        <v>29</v>
      </c>
      <c r="F1298">
        <v>50</v>
      </c>
      <c r="G1298">
        <v>1</v>
      </c>
      <c r="H1298">
        <v>20</v>
      </c>
      <c r="I1298" t="s">
        <v>26</v>
      </c>
      <c r="J1298" s="3">
        <v>164.962332</v>
      </c>
      <c r="K1298" s="3">
        <v>23577.938999999998</v>
      </c>
      <c r="L1298" s="3">
        <v>23577.938999999998</v>
      </c>
      <c r="M1298" s="3">
        <v>23577.938999999998</v>
      </c>
      <c r="N1298" s="3">
        <v>23577.938999999998</v>
      </c>
      <c r="O1298" s="4">
        <v>0</v>
      </c>
      <c r="P1298" s="4">
        <v>0</v>
      </c>
      <c r="Q1298" s="4">
        <v>0</v>
      </c>
      <c r="R1298" s="5">
        <v>1E-4</v>
      </c>
      <c r="S1298">
        <v>1</v>
      </c>
      <c r="T1298" t="b">
        <v>0</v>
      </c>
      <c r="U1298">
        <v>1</v>
      </c>
      <c r="V1298" s="4">
        <v>37.33</v>
      </c>
    </row>
    <row r="1299" spans="1:22" x14ac:dyDescent="0.35">
      <c r="A1299" t="s">
        <v>27</v>
      </c>
      <c r="B1299">
        <v>3</v>
      </c>
      <c r="C1299">
        <v>2</v>
      </c>
      <c r="D1299">
        <v>2</v>
      </c>
      <c r="E1299" t="s">
        <v>29</v>
      </c>
      <c r="F1299">
        <v>50</v>
      </c>
      <c r="G1299">
        <v>3</v>
      </c>
      <c r="H1299">
        <v>20</v>
      </c>
      <c r="I1299" t="s">
        <v>26</v>
      </c>
      <c r="J1299" s="3">
        <v>58.734208000000002</v>
      </c>
      <c r="K1299" s="3">
        <v>23577.938999999998</v>
      </c>
      <c r="L1299" s="3">
        <v>27233.46</v>
      </c>
      <c r="M1299" s="3">
        <v>23577.938999999998</v>
      </c>
      <c r="N1299" s="3">
        <v>23577.938999999998</v>
      </c>
      <c r="O1299" s="4">
        <v>0</v>
      </c>
      <c r="P1299" s="4">
        <v>15.504</v>
      </c>
      <c r="Q1299" s="4">
        <v>0</v>
      </c>
      <c r="R1299" s="5">
        <v>6.1000000000000004E-3</v>
      </c>
      <c r="S1299">
        <v>12</v>
      </c>
      <c r="T1299" t="b">
        <v>0</v>
      </c>
      <c r="U1299">
        <v>2</v>
      </c>
      <c r="V1299" s="4">
        <v>109.52</v>
      </c>
    </row>
    <row r="1300" spans="1:22" x14ac:dyDescent="0.35">
      <c r="A1300" t="s">
        <v>27</v>
      </c>
      <c r="B1300">
        <v>3</v>
      </c>
      <c r="C1300">
        <v>2</v>
      </c>
      <c r="D1300">
        <v>2</v>
      </c>
      <c r="E1300" t="s">
        <v>29</v>
      </c>
      <c r="F1300">
        <v>200</v>
      </c>
      <c r="G1300">
        <v>1</v>
      </c>
      <c r="H1300">
        <v>20</v>
      </c>
      <c r="I1300" t="s">
        <v>26</v>
      </c>
      <c r="J1300" s="3">
        <v>165.81462200000001</v>
      </c>
      <c r="K1300" s="3" t="s">
        <v>24</v>
      </c>
      <c r="L1300" s="3" t="s">
        <v>24</v>
      </c>
      <c r="M1300" s="3" t="s">
        <v>24</v>
      </c>
      <c r="N1300" s="3">
        <v>23577.938999999998</v>
      </c>
      <c r="O1300" s="4"/>
      <c r="P1300" s="4"/>
      <c r="Q1300" s="4"/>
      <c r="R1300" s="5">
        <v>0</v>
      </c>
      <c r="S1300">
        <v>0</v>
      </c>
      <c r="T1300" t="b">
        <v>1</v>
      </c>
      <c r="U1300">
        <v>-1</v>
      </c>
      <c r="V1300" s="4">
        <v>110.59</v>
      </c>
    </row>
    <row r="1301" spans="1:22" x14ac:dyDescent="0.35">
      <c r="A1301" t="s">
        <v>27</v>
      </c>
      <c r="B1301">
        <v>3</v>
      </c>
      <c r="C1301">
        <v>2</v>
      </c>
      <c r="D1301">
        <v>2</v>
      </c>
      <c r="E1301" t="s">
        <v>29</v>
      </c>
      <c r="F1301">
        <v>200</v>
      </c>
      <c r="G1301">
        <v>3</v>
      </c>
      <c r="H1301">
        <v>20</v>
      </c>
      <c r="I1301" t="s">
        <v>26</v>
      </c>
      <c r="J1301" s="3">
        <v>68.419708999999997</v>
      </c>
      <c r="K1301" s="3">
        <v>23577.938999999998</v>
      </c>
      <c r="L1301" s="3">
        <v>23577.938999999998</v>
      </c>
      <c r="M1301" s="3">
        <v>23577.938999999998</v>
      </c>
      <c r="N1301" s="3">
        <v>23577.938999999998</v>
      </c>
      <c r="O1301" s="4">
        <v>0</v>
      </c>
      <c r="P1301" s="4">
        <v>0</v>
      </c>
      <c r="Q1301" s="4">
        <v>0</v>
      </c>
      <c r="R1301" s="5">
        <v>2E-3</v>
      </c>
      <c r="S1301">
        <v>11</v>
      </c>
      <c r="T1301" t="b">
        <v>0</v>
      </c>
      <c r="U1301">
        <v>1</v>
      </c>
      <c r="V1301" s="4">
        <v>328.09</v>
      </c>
    </row>
    <row r="1302" spans="1:22" x14ac:dyDescent="0.35">
      <c r="A1302" t="s">
        <v>27</v>
      </c>
      <c r="B1302">
        <v>3</v>
      </c>
      <c r="C1302">
        <v>2</v>
      </c>
      <c r="D1302">
        <v>5</v>
      </c>
      <c r="E1302" t="s">
        <v>29</v>
      </c>
      <c r="F1302">
        <v>50</v>
      </c>
      <c r="G1302">
        <v>1</v>
      </c>
      <c r="H1302">
        <v>20</v>
      </c>
      <c r="I1302" t="s">
        <v>26</v>
      </c>
      <c r="J1302" s="3">
        <v>405.36310200000003</v>
      </c>
      <c r="K1302" s="3">
        <v>25501.078000000001</v>
      </c>
      <c r="L1302" s="3">
        <v>25501.078000000001</v>
      </c>
      <c r="M1302" s="3">
        <v>25501.078000000001</v>
      </c>
      <c r="N1302" s="3">
        <v>23577.938999999998</v>
      </c>
      <c r="O1302" s="4">
        <v>8.1564999999999994</v>
      </c>
      <c r="P1302" s="4">
        <v>8.1564999999999994</v>
      </c>
      <c r="Q1302" s="4">
        <v>8.1564999999999994</v>
      </c>
      <c r="R1302" s="5">
        <v>1E-4</v>
      </c>
      <c r="S1302">
        <v>1</v>
      </c>
      <c r="T1302" t="b">
        <v>0</v>
      </c>
      <c r="U1302">
        <v>1</v>
      </c>
      <c r="V1302" s="4">
        <v>37.18</v>
      </c>
    </row>
    <row r="1303" spans="1:22" x14ac:dyDescent="0.35">
      <c r="A1303" t="s">
        <v>27</v>
      </c>
      <c r="B1303">
        <v>3</v>
      </c>
      <c r="C1303">
        <v>2</v>
      </c>
      <c r="D1303">
        <v>5</v>
      </c>
      <c r="E1303" t="s">
        <v>29</v>
      </c>
      <c r="F1303">
        <v>50</v>
      </c>
      <c r="G1303">
        <v>3</v>
      </c>
      <c r="H1303">
        <v>20</v>
      </c>
      <c r="I1303" t="s">
        <v>26</v>
      </c>
      <c r="J1303" s="3">
        <v>142.77398099999999</v>
      </c>
      <c r="K1303" s="3">
        <v>23577.938999999998</v>
      </c>
      <c r="L1303" s="3">
        <v>25440.276000000002</v>
      </c>
      <c r="M1303" s="3">
        <v>23577.938999999998</v>
      </c>
      <c r="N1303" s="3">
        <v>23577.938999999998</v>
      </c>
      <c r="O1303" s="4">
        <v>0</v>
      </c>
      <c r="P1303" s="4">
        <v>7.8986000000000001</v>
      </c>
      <c r="Q1303" s="4">
        <v>0</v>
      </c>
      <c r="R1303" s="5">
        <v>1.03E-2</v>
      </c>
      <c r="S1303">
        <v>12</v>
      </c>
      <c r="T1303" t="b">
        <v>0</v>
      </c>
      <c r="U1303">
        <v>5</v>
      </c>
      <c r="V1303" s="4">
        <v>109.48</v>
      </c>
    </row>
    <row r="1304" spans="1:22" x14ac:dyDescent="0.35">
      <c r="A1304" t="s">
        <v>27</v>
      </c>
      <c r="B1304">
        <v>3</v>
      </c>
      <c r="C1304">
        <v>2</v>
      </c>
      <c r="D1304">
        <v>5</v>
      </c>
      <c r="E1304" t="s">
        <v>29</v>
      </c>
      <c r="F1304">
        <v>200</v>
      </c>
      <c r="G1304">
        <v>1</v>
      </c>
      <c r="H1304">
        <v>20</v>
      </c>
      <c r="I1304" t="s">
        <v>26</v>
      </c>
      <c r="J1304" s="3">
        <v>410.22493300000002</v>
      </c>
      <c r="K1304" s="3">
        <v>25440.276000000002</v>
      </c>
      <c r="L1304" s="3">
        <v>25440.276000000002</v>
      </c>
      <c r="M1304" s="3">
        <v>25440.276000000002</v>
      </c>
      <c r="N1304" s="3">
        <v>23577.938999999998</v>
      </c>
      <c r="O1304" s="4">
        <v>7.8986000000000001</v>
      </c>
      <c r="P1304" s="4">
        <v>7.8986000000000001</v>
      </c>
      <c r="Q1304" s="4">
        <v>7.8986000000000001</v>
      </c>
      <c r="R1304" s="5">
        <v>1E-4</v>
      </c>
      <c r="S1304">
        <v>1</v>
      </c>
      <c r="T1304" t="b">
        <v>0</v>
      </c>
      <c r="U1304">
        <v>1</v>
      </c>
      <c r="V1304" s="4">
        <v>110.01</v>
      </c>
    </row>
    <row r="1305" spans="1:22" x14ac:dyDescent="0.35">
      <c r="A1305" t="s">
        <v>27</v>
      </c>
      <c r="B1305">
        <v>3</v>
      </c>
      <c r="C1305">
        <v>2</v>
      </c>
      <c r="D1305">
        <v>5</v>
      </c>
      <c r="E1305" t="s">
        <v>29</v>
      </c>
      <c r="F1305">
        <v>200</v>
      </c>
      <c r="G1305">
        <v>3</v>
      </c>
      <c r="H1305">
        <v>20</v>
      </c>
      <c r="I1305" t="s">
        <v>26</v>
      </c>
      <c r="J1305" s="3">
        <v>152.51649</v>
      </c>
      <c r="K1305" s="3">
        <v>23577.938999999998</v>
      </c>
      <c r="L1305" s="3">
        <v>25501.078000000001</v>
      </c>
      <c r="M1305" s="3">
        <v>23577.938999999998</v>
      </c>
      <c r="N1305" s="3">
        <v>23577.938999999998</v>
      </c>
      <c r="O1305" s="4">
        <v>0</v>
      </c>
      <c r="P1305" s="4">
        <v>8.1564999999999994</v>
      </c>
      <c r="Q1305" s="4">
        <v>0</v>
      </c>
      <c r="R1305" s="5">
        <v>4.3E-3</v>
      </c>
      <c r="S1305">
        <v>12</v>
      </c>
      <c r="T1305" t="b">
        <v>0</v>
      </c>
      <c r="U1305">
        <v>2</v>
      </c>
      <c r="V1305" s="4">
        <v>327.32</v>
      </c>
    </row>
    <row r="1306" spans="1:22" x14ac:dyDescent="0.35">
      <c r="A1306" t="s">
        <v>27</v>
      </c>
      <c r="B1306">
        <v>3</v>
      </c>
      <c r="C1306">
        <v>2</v>
      </c>
      <c r="D1306">
        <v>10</v>
      </c>
      <c r="E1306" t="s">
        <v>29</v>
      </c>
      <c r="F1306">
        <v>50</v>
      </c>
      <c r="G1306">
        <v>1</v>
      </c>
      <c r="H1306">
        <v>20</v>
      </c>
      <c r="I1306" t="s">
        <v>26</v>
      </c>
      <c r="J1306" s="3">
        <v>786.48149899999999</v>
      </c>
      <c r="K1306" s="3">
        <v>23577.938999999998</v>
      </c>
      <c r="L1306" s="3">
        <v>25501.078000000001</v>
      </c>
      <c r="M1306" s="3">
        <v>23577.938999999998</v>
      </c>
      <c r="N1306" s="3">
        <v>23577.938999999998</v>
      </c>
      <c r="O1306" s="4">
        <v>0</v>
      </c>
      <c r="P1306" s="4">
        <v>8.1564999999999994</v>
      </c>
      <c r="Q1306" s="4">
        <v>0</v>
      </c>
      <c r="R1306" s="5">
        <v>4.0000000000000002E-4</v>
      </c>
      <c r="S1306">
        <v>4</v>
      </c>
      <c r="T1306" t="b">
        <v>0</v>
      </c>
      <c r="U1306">
        <v>4</v>
      </c>
      <c r="V1306" s="4">
        <v>37.11</v>
      </c>
    </row>
    <row r="1307" spans="1:22" x14ac:dyDescent="0.35">
      <c r="A1307" t="s">
        <v>27</v>
      </c>
      <c r="B1307">
        <v>3</v>
      </c>
      <c r="C1307">
        <v>2</v>
      </c>
      <c r="D1307">
        <v>10</v>
      </c>
      <c r="E1307" t="s">
        <v>29</v>
      </c>
      <c r="F1307">
        <v>50</v>
      </c>
      <c r="G1307">
        <v>3</v>
      </c>
      <c r="H1307">
        <v>20</v>
      </c>
      <c r="I1307" t="s">
        <v>26</v>
      </c>
      <c r="J1307" s="3">
        <v>302.70319599999999</v>
      </c>
      <c r="K1307" s="3">
        <v>23577.938999999998</v>
      </c>
      <c r="L1307" s="3">
        <v>25440.276000000002</v>
      </c>
      <c r="M1307" s="3">
        <v>23577.938999999998</v>
      </c>
      <c r="N1307" s="3">
        <v>23577.938999999998</v>
      </c>
      <c r="O1307" s="4">
        <v>0</v>
      </c>
      <c r="P1307" s="4">
        <v>7.8986000000000001</v>
      </c>
      <c r="Q1307" s="4">
        <v>0</v>
      </c>
      <c r="R1307" s="5">
        <v>4.1999999999999997E-3</v>
      </c>
      <c r="S1307">
        <v>11</v>
      </c>
      <c r="T1307" t="b">
        <v>0</v>
      </c>
      <c r="U1307">
        <v>8</v>
      </c>
      <c r="V1307" s="4">
        <v>109.37</v>
      </c>
    </row>
    <row r="1308" spans="1:22" x14ac:dyDescent="0.35">
      <c r="A1308" t="s">
        <v>27</v>
      </c>
      <c r="B1308">
        <v>3</v>
      </c>
      <c r="C1308">
        <v>2</v>
      </c>
      <c r="D1308">
        <v>10</v>
      </c>
      <c r="E1308" t="s">
        <v>29</v>
      </c>
      <c r="F1308">
        <v>200</v>
      </c>
      <c r="G1308">
        <v>1</v>
      </c>
      <c r="H1308">
        <v>20</v>
      </c>
      <c r="I1308" t="s">
        <v>26</v>
      </c>
      <c r="J1308" s="3">
        <v>762.99789899999996</v>
      </c>
      <c r="K1308" s="3" t="s">
        <v>24</v>
      </c>
      <c r="L1308" s="3" t="s">
        <v>24</v>
      </c>
      <c r="M1308" s="3" t="s">
        <v>24</v>
      </c>
      <c r="N1308" s="3">
        <v>23577.938999999998</v>
      </c>
      <c r="O1308" s="4"/>
      <c r="P1308" s="4"/>
      <c r="Q1308" s="4"/>
      <c r="R1308" s="5">
        <v>0</v>
      </c>
      <c r="S1308">
        <v>0</v>
      </c>
      <c r="T1308" t="b">
        <v>1</v>
      </c>
      <c r="U1308">
        <v>-1</v>
      </c>
      <c r="V1308" s="4">
        <v>110.17</v>
      </c>
    </row>
    <row r="1309" spans="1:22" x14ac:dyDescent="0.35">
      <c r="A1309" t="s">
        <v>27</v>
      </c>
      <c r="B1309">
        <v>3</v>
      </c>
      <c r="C1309">
        <v>2</v>
      </c>
      <c r="D1309">
        <v>10</v>
      </c>
      <c r="E1309" t="s">
        <v>29</v>
      </c>
      <c r="F1309">
        <v>200</v>
      </c>
      <c r="G1309">
        <v>3</v>
      </c>
      <c r="H1309">
        <v>20</v>
      </c>
      <c r="I1309" t="s">
        <v>26</v>
      </c>
      <c r="J1309" s="3">
        <v>290.522831</v>
      </c>
      <c r="K1309" s="3">
        <v>23577.938999999998</v>
      </c>
      <c r="L1309" s="3">
        <v>23577.938999999998</v>
      </c>
      <c r="M1309" s="3">
        <v>23577.938999999998</v>
      </c>
      <c r="N1309" s="3">
        <v>23577.938999999998</v>
      </c>
      <c r="O1309" s="4">
        <v>0</v>
      </c>
      <c r="P1309" s="4">
        <v>0</v>
      </c>
      <c r="Q1309" s="4">
        <v>0</v>
      </c>
      <c r="R1309" s="5">
        <v>4.4000000000000003E-3</v>
      </c>
      <c r="S1309">
        <v>12</v>
      </c>
      <c r="T1309" t="b">
        <v>0</v>
      </c>
      <c r="U1309">
        <v>1</v>
      </c>
      <c r="V1309" s="4">
        <v>324.3</v>
      </c>
    </row>
    <row r="1310" spans="1:22" x14ac:dyDescent="0.35">
      <c r="A1310" t="s">
        <v>27</v>
      </c>
      <c r="B1310">
        <v>3</v>
      </c>
      <c r="C1310">
        <v>5</v>
      </c>
      <c r="D1310">
        <v>2</v>
      </c>
      <c r="E1310" t="s">
        <v>29</v>
      </c>
      <c r="F1310">
        <v>50</v>
      </c>
      <c r="G1310">
        <v>1</v>
      </c>
      <c r="H1310">
        <v>20</v>
      </c>
      <c r="I1310" t="s">
        <v>26</v>
      </c>
      <c r="J1310" s="3">
        <v>166.99439699999999</v>
      </c>
      <c r="K1310" s="3">
        <v>27521.069</v>
      </c>
      <c r="L1310" s="3">
        <v>27521.069</v>
      </c>
      <c r="M1310" s="3">
        <v>27521.069</v>
      </c>
      <c r="N1310" s="3">
        <v>23577.938999999998</v>
      </c>
      <c r="O1310" s="4">
        <v>16.723800000000001</v>
      </c>
      <c r="P1310" s="4">
        <v>16.723800000000001</v>
      </c>
      <c r="Q1310" s="4">
        <v>16.723800000000001</v>
      </c>
      <c r="R1310" s="5">
        <v>1E-4</v>
      </c>
      <c r="S1310">
        <v>1</v>
      </c>
      <c r="T1310" t="b">
        <v>0</v>
      </c>
      <c r="U1310">
        <v>1</v>
      </c>
      <c r="V1310" s="4">
        <v>62.57</v>
      </c>
    </row>
    <row r="1311" spans="1:22" x14ac:dyDescent="0.35">
      <c r="A1311" t="s">
        <v>27</v>
      </c>
      <c r="B1311">
        <v>3</v>
      </c>
      <c r="C1311">
        <v>5</v>
      </c>
      <c r="D1311">
        <v>2</v>
      </c>
      <c r="E1311" t="s">
        <v>29</v>
      </c>
      <c r="F1311">
        <v>50</v>
      </c>
      <c r="G1311">
        <v>3</v>
      </c>
      <c r="H1311">
        <v>20</v>
      </c>
      <c r="I1311" t="s">
        <v>26</v>
      </c>
      <c r="J1311" s="3">
        <v>141.25053600000001</v>
      </c>
      <c r="K1311" s="3" t="s">
        <v>24</v>
      </c>
      <c r="L1311" s="3" t="s">
        <v>24</v>
      </c>
      <c r="M1311" s="3" t="s">
        <v>24</v>
      </c>
      <c r="N1311" s="3">
        <v>23577.938999999998</v>
      </c>
      <c r="O1311" s="4"/>
      <c r="P1311" s="4"/>
      <c r="Q1311" s="4"/>
      <c r="R1311" s="5">
        <v>0</v>
      </c>
      <c r="S1311">
        <v>0</v>
      </c>
      <c r="T1311" t="b">
        <v>1</v>
      </c>
      <c r="U1311">
        <v>-1</v>
      </c>
      <c r="V1311" s="4">
        <v>185.51</v>
      </c>
    </row>
    <row r="1312" spans="1:22" x14ac:dyDescent="0.35">
      <c r="A1312" t="s">
        <v>27</v>
      </c>
      <c r="B1312">
        <v>3</v>
      </c>
      <c r="C1312">
        <v>5</v>
      </c>
      <c r="D1312">
        <v>2</v>
      </c>
      <c r="E1312" t="s">
        <v>29</v>
      </c>
      <c r="F1312">
        <v>200</v>
      </c>
      <c r="G1312">
        <v>1</v>
      </c>
      <c r="H1312">
        <v>20</v>
      </c>
      <c r="I1312" t="s">
        <v>26</v>
      </c>
      <c r="J1312" s="3">
        <v>165.693502</v>
      </c>
      <c r="K1312" s="3">
        <v>23577.938999999998</v>
      </c>
      <c r="L1312" s="3">
        <v>23577.938999999998</v>
      </c>
      <c r="M1312" s="3">
        <v>23577.938999999998</v>
      </c>
      <c r="N1312" s="3">
        <v>23577.938999999998</v>
      </c>
      <c r="O1312" s="4">
        <v>0</v>
      </c>
      <c r="P1312" s="4">
        <v>0</v>
      </c>
      <c r="Q1312" s="4">
        <v>0</v>
      </c>
      <c r="R1312" s="5">
        <v>1E-4</v>
      </c>
      <c r="S1312">
        <v>1</v>
      </c>
      <c r="T1312" t="b">
        <v>0</v>
      </c>
      <c r="U1312">
        <v>1</v>
      </c>
      <c r="V1312" s="4">
        <v>185.12</v>
      </c>
    </row>
    <row r="1313" spans="1:22" x14ac:dyDescent="0.35">
      <c r="A1313" t="s">
        <v>27</v>
      </c>
      <c r="B1313">
        <v>3</v>
      </c>
      <c r="C1313">
        <v>5</v>
      </c>
      <c r="D1313">
        <v>2</v>
      </c>
      <c r="E1313" t="s">
        <v>29</v>
      </c>
      <c r="F1313">
        <v>200</v>
      </c>
      <c r="G1313">
        <v>3</v>
      </c>
      <c r="H1313">
        <v>20</v>
      </c>
      <c r="I1313" t="s">
        <v>26</v>
      </c>
      <c r="J1313" s="3">
        <v>144.05947499999999</v>
      </c>
      <c r="K1313" s="3">
        <v>27233.46</v>
      </c>
      <c r="L1313" s="3">
        <v>27233.46</v>
      </c>
      <c r="M1313" s="3">
        <v>27233.46</v>
      </c>
      <c r="N1313" s="3">
        <v>23577.938999999998</v>
      </c>
      <c r="O1313" s="4">
        <v>15.504</v>
      </c>
      <c r="P1313" s="4">
        <v>15.504</v>
      </c>
      <c r="Q1313" s="4">
        <v>15.504</v>
      </c>
      <c r="R1313" s="5">
        <v>2.9999999999999997E-4</v>
      </c>
      <c r="S1313">
        <v>3</v>
      </c>
      <c r="T1313" t="b">
        <v>0</v>
      </c>
      <c r="U1313">
        <v>1</v>
      </c>
      <c r="V1313" s="4">
        <v>552.62</v>
      </c>
    </row>
    <row r="1314" spans="1:22" x14ac:dyDescent="0.35">
      <c r="A1314" t="s">
        <v>27</v>
      </c>
      <c r="B1314">
        <v>3</v>
      </c>
      <c r="C1314">
        <v>5</v>
      </c>
      <c r="D1314">
        <v>5</v>
      </c>
      <c r="E1314" t="s">
        <v>29</v>
      </c>
      <c r="F1314">
        <v>50</v>
      </c>
      <c r="G1314">
        <v>1</v>
      </c>
      <c r="H1314">
        <v>20</v>
      </c>
      <c r="I1314" t="s">
        <v>26</v>
      </c>
      <c r="J1314" s="3">
        <v>403.67822799999999</v>
      </c>
      <c r="K1314" s="3" t="s">
        <v>24</v>
      </c>
      <c r="L1314" s="3" t="s">
        <v>24</v>
      </c>
      <c r="M1314" s="3" t="s">
        <v>24</v>
      </c>
      <c r="N1314" s="3">
        <v>23577.938999999998</v>
      </c>
      <c r="O1314" s="4"/>
      <c r="P1314" s="4"/>
      <c r="Q1314" s="4"/>
      <c r="R1314" s="5">
        <v>0</v>
      </c>
      <c r="S1314">
        <v>0</v>
      </c>
      <c r="T1314" t="b">
        <v>1</v>
      </c>
      <c r="U1314">
        <v>-1</v>
      </c>
      <c r="V1314" s="4">
        <v>62.33</v>
      </c>
    </row>
    <row r="1315" spans="1:22" x14ac:dyDescent="0.35">
      <c r="A1315" t="s">
        <v>27</v>
      </c>
      <c r="B1315">
        <v>3</v>
      </c>
      <c r="C1315">
        <v>5</v>
      </c>
      <c r="D1315">
        <v>5</v>
      </c>
      <c r="E1315" t="s">
        <v>29</v>
      </c>
      <c r="F1315">
        <v>50</v>
      </c>
      <c r="G1315">
        <v>3</v>
      </c>
      <c r="H1315">
        <v>20</v>
      </c>
      <c r="I1315" t="s">
        <v>26</v>
      </c>
      <c r="J1315" s="3">
        <v>376.44157799999999</v>
      </c>
      <c r="K1315" s="3" t="s">
        <v>24</v>
      </c>
      <c r="L1315" s="3" t="s">
        <v>24</v>
      </c>
      <c r="M1315" s="3" t="s">
        <v>24</v>
      </c>
      <c r="N1315" s="3">
        <v>23577.938999999998</v>
      </c>
      <c r="O1315" s="4"/>
      <c r="P1315" s="4"/>
      <c r="Q1315" s="4"/>
      <c r="R1315" s="5">
        <v>0</v>
      </c>
      <c r="S1315">
        <v>0</v>
      </c>
      <c r="T1315" t="b">
        <v>1</v>
      </c>
      <c r="U1315">
        <v>-1</v>
      </c>
      <c r="V1315" s="4">
        <v>186.02</v>
      </c>
    </row>
    <row r="1316" spans="1:22" x14ac:dyDescent="0.35">
      <c r="A1316" t="s">
        <v>27</v>
      </c>
      <c r="B1316">
        <v>3</v>
      </c>
      <c r="C1316">
        <v>5</v>
      </c>
      <c r="D1316">
        <v>5</v>
      </c>
      <c r="E1316" t="s">
        <v>29</v>
      </c>
      <c r="F1316">
        <v>200</v>
      </c>
      <c r="G1316">
        <v>1</v>
      </c>
      <c r="H1316">
        <v>20</v>
      </c>
      <c r="I1316" t="s">
        <v>26</v>
      </c>
      <c r="J1316" s="3">
        <v>410.95172300000002</v>
      </c>
      <c r="K1316" s="3" t="s">
        <v>24</v>
      </c>
      <c r="L1316" s="3" t="s">
        <v>24</v>
      </c>
      <c r="M1316" s="3" t="s">
        <v>24</v>
      </c>
      <c r="N1316" s="3">
        <v>23577.938999999998</v>
      </c>
      <c r="O1316" s="4"/>
      <c r="P1316" s="4"/>
      <c r="Q1316" s="4"/>
      <c r="R1316" s="5">
        <v>0</v>
      </c>
      <c r="S1316">
        <v>0</v>
      </c>
      <c r="T1316" t="b">
        <v>1</v>
      </c>
      <c r="U1316">
        <v>-1</v>
      </c>
      <c r="V1316" s="4">
        <v>185.23</v>
      </c>
    </row>
    <row r="1317" spans="1:22" x14ac:dyDescent="0.35">
      <c r="A1317" t="s">
        <v>27</v>
      </c>
      <c r="B1317">
        <v>3</v>
      </c>
      <c r="C1317">
        <v>5</v>
      </c>
      <c r="D1317">
        <v>5</v>
      </c>
      <c r="E1317" t="s">
        <v>29</v>
      </c>
      <c r="F1317">
        <v>200</v>
      </c>
      <c r="G1317">
        <v>3</v>
      </c>
      <c r="H1317">
        <v>20</v>
      </c>
      <c r="I1317" t="s">
        <v>26</v>
      </c>
      <c r="J1317" s="3">
        <v>363.82073000000003</v>
      </c>
      <c r="K1317" s="3">
        <v>23577.938999999998</v>
      </c>
      <c r="L1317" s="3">
        <v>23577.938999999998</v>
      </c>
      <c r="M1317" s="3">
        <v>23577.938999999998</v>
      </c>
      <c r="N1317" s="3">
        <v>23577.938999999998</v>
      </c>
      <c r="O1317" s="4">
        <v>0</v>
      </c>
      <c r="P1317" s="4">
        <v>0</v>
      </c>
      <c r="Q1317" s="4">
        <v>0</v>
      </c>
      <c r="R1317" s="5">
        <v>4.0000000000000002E-4</v>
      </c>
      <c r="S1317">
        <v>3</v>
      </c>
      <c r="T1317" t="b">
        <v>0</v>
      </c>
      <c r="U1317">
        <v>2</v>
      </c>
      <c r="V1317" s="4">
        <v>552.26</v>
      </c>
    </row>
    <row r="1318" spans="1:22" x14ac:dyDescent="0.35">
      <c r="A1318" t="s">
        <v>27</v>
      </c>
      <c r="B1318">
        <v>3</v>
      </c>
      <c r="C1318">
        <v>5</v>
      </c>
      <c r="D1318">
        <v>10</v>
      </c>
      <c r="E1318" t="s">
        <v>29</v>
      </c>
      <c r="F1318">
        <v>50</v>
      </c>
      <c r="G1318">
        <v>1</v>
      </c>
      <c r="H1318">
        <v>20</v>
      </c>
      <c r="I1318" t="s">
        <v>26</v>
      </c>
      <c r="J1318" s="3">
        <v>948.97939199999996</v>
      </c>
      <c r="K1318" s="3">
        <v>27637.697</v>
      </c>
      <c r="L1318" s="3">
        <v>27637.697</v>
      </c>
      <c r="M1318" s="3">
        <v>27637.697</v>
      </c>
      <c r="N1318" s="3">
        <v>23577.938999999998</v>
      </c>
      <c r="O1318" s="4">
        <v>17.218499999999999</v>
      </c>
      <c r="P1318" s="4">
        <v>17.218499999999999</v>
      </c>
      <c r="Q1318" s="4">
        <v>17.218499999999999</v>
      </c>
      <c r="R1318" s="5">
        <v>2.0000000000000001E-4</v>
      </c>
      <c r="S1318">
        <v>1</v>
      </c>
      <c r="T1318" t="b">
        <v>0</v>
      </c>
      <c r="U1318">
        <v>1</v>
      </c>
      <c r="V1318" s="4">
        <v>62.53</v>
      </c>
    </row>
    <row r="1319" spans="1:22" x14ac:dyDescent="0.35">
      <c r="A1319" t="s">
        <v>27</v>
      </c>
      <c r="B1319">
        <v>3</v>
      </c>
      <c r="C1319">
        <v>5</v>
      </c>
      <c r="D1319">
        <v>10</v>
      </c>
      <c r="E1319" t="s">
        <v>29</v>
      </c>
      <c r="F1319">
        <v>50</v>
      </c>
      <c r="G1319">
        <v>3</v>
      </c>
      <c r="H1319">
        <v>20</v>
      </c>
      <c r="I1319" t="s">
        <v>26</v>
      </c>
      <c r="J1319" s="3">
        <v>772.86611700000003</v>
      </c>
      <c r="K1319" s="3" t="s">
        <v>24</v>
      </c>
      <c r="L1319" s="3" t="s">
        <v>24</v>
      </c>
      <c r="M1319" s="3" t="s">
        <v>24</v>
      </c>
      <c r="N1319" s="3">
        <v>23577.938999999998</v>
      </c>
      <c r="O1319" s="4"/>
      <c r="P1319" s="4"/>
      <c r="Q1319" s="4"/>
      <c r="R1319" s="5">
        <v>0</v>
      </c>
      <c r="S1319">
        <v>0</v>
      </c>
      <c r="T1319" t="b">
        <v>1</v>
      </c>
      <c r="U1319">
        <v>-1</v>
      </c>
      <c r="V1319" s="4">
        <v>185.56</v>
      </c>
    </row>
    <row r="1320" spans="1:22" x14ac:dyDescent="0.35">
      <c r="A1320" t="s">
        <v>27</v>
      </c>
      <c r="B1320">
        <v>3</v>
      </c>
      <c r="C1320">
        <v>5</v>
      </c>
      <c r="D1320">
        <v>10</v>
      </c>
      <c r="E1320" t="s">
        <v>29</v>
      </c>
      <c r="F1320">
        <v>200</v>
      </c>
      <c r="G1320">
        <v>1</v>
      </c>
      <c r="H1320">
        <v>20</v>
      </c>
      <c r="I1320" t="s">
        <v>26</v>
      </c>
      <c r="J1320" s="3">
        <v>806.98533299999997</v>
      </c>
      <c r="K1320" s="3" t="s">
        <v>24</v>
      </c>
      <c r="L1320" s="3" t="s">
        <v>24</v>
      </c>
      <c r="M1320" s="3" t="s">
        <v>24</v>
      </c>
      <c r="N1320" s="3">
        <v>23577.938999999998</v>
      </c>
      <c r="O1320" s="4"/>
      <c r="P1320" s="4"/>
      <c r="Q1320" s="4"/>
      <c r="R1320" s="5">
        <v>0</v>
      </c>
      <c r="S1320">
        <v>0</v>
      </c>
      <c r="T1320" t="b">
        <v>1</v>
      </c>
      <c r="U1320">
        <v>-1</v>
      </c>
      <c r="V1320" s="4">
        <v>185.42</v>
      </c>
    </row>
    <row r="1321" spans="1:22" x14ac:dyDescent="0.35">
      <c r="A1321" t="s">
        <v>27</v>
      </c>
      <c r="B1321">
        <v>3</v>
      </c>
      <c r="C1321">
        <v>5</v>
      </c>
      <c r="D1321">
        <v>10</v>
      </c>
      <c r="E1321" t="s">
        <v>29</v>
      </c>
      <c r="F1321">
        <v>200</v>
      </c>
      <c r="G1321">
        <v>3</v>
      </c>
      <c r="H1321">
        <v>20</v>
      </c>
      <c r="I1321" t="s">
        <v>26</v>
      </c>
      <c r="J1321" s="3">
        <v>342.97373199999998</v>
      </c>
      <c r="K1321" s="3">
        <v>23577.938999999998</v>
      </c>
      <c r="L1321" s="3">
        <v>25501.078000000001</v>
      </c>
      <c r="M1321" s="3">
        <v>23577.938999999998</v>
      </c>
      <c r="N1321" s="3">
        <v>23577.938999999998</v>
      </c>
      <c r="O1321" s="4">
        <v>0</v>
      </c>
      <c r="P1321" s="4">
        <v>8.1564999999999994</v>
      </c>
      <c r="Q1321" s="4">
        <v>0</v>
      </c>
      <c r="R1321" s="5">
        <v>1.35E-2</v>
      </c>
      <c r="S1321">
        <v>12</v>
      </c>
      <c r="T1321" t="b">
        <v>0</v>
      </c>
      <c r="U1321">
        <v>6</v>
      </c>
      <c r="V1321" s="4">
        <v>553.03</v>
      </c>
    </row>
    <row r="1322" spans="1:22" x14ac:dyDescent="0.35">
      <c r="A1322" t="s">
        <v>27</v>
      </c>
      <c r="B1322">
        <v>4</v>
      </c>
      <c r="C1322">
        <v>2</v>
      </c>
      <c r="D1322">
        <v>2</v>
      </c>
      <c r="E1322" t="s">
        <v>29</v>
      </c>
      <c r="F1322">
        <v>50</v>
      </c>
      <c r="G1322">
        <v>1</v>
      </c>
      <c r="H1322">
        <v>20</v>
      </c>
      <c r="I1322" t="s">
        <v>26</v>
      </c>
      <c r="J1322" s="3">
        <v>211.53980799999999</v>
      </c>
      <c r="K1322" s="3" t="s">
        <v>24</v>
      </c>
      <c r="L1322" s="3" t="s">
        <v>24</v>
      </c>
      <c r="M1322" s="3" t="s">
        <v>24</v>
      </c>
      <c r="N1322" s="3">
        <v>29375.853999999999</v>
      </c>
      <c r="O1322" s="4"/>
      <c r="P1322" s="4"/>
      <c r="Q1322" s="4"/>
      <c r="R1322" s="5">
        <v>0</v>
      </c>
      <c r="S1322">
        <v>0</v>
      </c>
      <c r="T1322" t="b">
        <v>1</v>
      </c>
      <c r="U1322">
        <v>-1</v>
      </c>
      <c r="V1322" s="4">
        <v>37.17</v>
      </c>
    </row>
    <row r="1323" spans="1:22" x14ac:dyDescent="0.35">
      <c r="A1323" t="s">
        <v>27</v>
      </c>
      <c r="B1323">
        <v>4</v>
      </c>
      <c r="C1323">
        <v>2</v>
      </c>
      <c r="D1323">
        <v>2</v>
      </c>
      <c r="E1323" t="s">
        <v>29</v>
      </c>
      <c r="F1323">
        <v>50</v>
      </c>
      <c r="G1323">
        <v>3</v>
      </c>
      <c r="H1323">
        <v>20</v>
      </c>
      <c r="I1323" t="s">
        <v>26</v>
      </c>
      <c r="J1323" s="3">
        <v>72.068809999999999</v>
      </c>
      <c r="K1323" s="3">
        <v>29375.853999999999</v>
      </c>
      <c r="L1323" s="3">
        <v>29375.853999999999</v>
      </c>
      <c r="M1323" s="3">
        <v>29375.853999999999</v>
      </c>
      <c r="N1323" s="3">
        <v>29375.853999999999</v>
      </c>
      <c r="O1323" s="4">
        <v>0</v>
      </c>
      <c r="P1323" s="4">
        <v>0</v>
      </c>
      <c r="Q1323" s="4">
        <v>0</v>
      </c>
      <c r="R1323" s="5">
        <v>4.3E-3</v>
      </c>
      <c r="S1323">
        <v>1</v>
      </c>
      <c r="T1323" t="b">
        <v>0</v>
      </c>
      <c r="U1323">
        <v>1</v>
      </c>
      <c r="V1323" s="4">
        <v>109.47</v>
      </c>
    </row>
    <row r="1324" spans="1:22" x14ac:dyDescent="0.35">
      <c r="A1324" t="s">
        <v>27</v>
      </c>
      <c r="B1324">
        <v>4</v>
      </c>
      <c r="C1324">
        <v>2</v>
      </c>
      <c r="D1324">
        <v>2</v>
      </c>
      <c r="E1324" t="s">
        <v>29</v>
      </c>
      <c r="F1324">
        <v>200</v>
      </c>
      <c r="G1324">
        <v>1</v>
      </c>
      <c r="H1324">
        <v>20</v>
      </c>
      <c r="I1324" t="s">
        <v>26</v>
      </c>
      <c r="J1324" s="3">
        <v>214.55777399999999</v>
      </c>
      <c r="K1324" s="3" t="s">
        <v>24</v>
      </c>
      <c r="L1324" s="3" t="s">
        <v>24</v>
      </c>
      <c r="M1324" s="3" t="s">
        <v>24</v>
      </c>
      <c r="N1324" s="3">
        <v>29375.853999999999</v>
      </c>
      <c r="O1324" s="4"/>
      <c r="P1324" s="4"/>
      <c r="Q1324" s="4"/>
      <c r="R1324" s="5">
        <v>0</v>
      </c>
      <c r="S1324">
        <v>0</v>
      </c>
      <c r="T1324" t="b">
        <v>1</v>
      </c>
      <c r="U1324">
        <v>-1</v>
      </c>
      <c r="V1324" s="4">
        <v>110.48</v>
      </c>
    </row>
    <row r="1325" spans="1:22" x14ac:dyDescent="0.35">
      <c r="A1325" t="s">
        <v>27</v>
      </c>
      <c r="B1325">
        <v>4</v>
      </c>
      <c r="C1325">
        <v>2</v>
      </c>
      <c r="D1325">
        <v>2</v>
      </c>
      <c r="E1325" t="s">
        <v>29</v>
      </c>
      <c r="F1325">
        <v>200</v>
      </c>
      <c r="G1325">
        <v>3</v>
      </c>
      <c r="H1325">
        <v>20</v>
      </c>
      <c r="I1325" t="s">
        <v>26</v>
      </c>
      <c r="J1325" s="3">
        <v>82.339202</v>
      </c>
      <c r="K1325" s="3">
        <v>29375.853999999999</v>
      </c>
      <c r="L1325" s="3">
        <v>29375.853999999999</v>
      </c>
      <c r="M1325" s="3">
        <v>29375.853999999999</v>
      </c>
      <c r="N1325" s="3">
        <v>29375.853999999999</v>
      </c>
      <c r="O1325" s="4">
        <v>0</v>
      </c>
      <c r="P1325" s="4">
        <v>0</v>
      </c>
      <c r="Q1325" s="4">
        <v>0</v>
      </c>
      <c r="R1325" s="5">
        <v>2.8999999999999998E-3</v>
      </c>
      <c r="S1325">
        <v>1</v>
      </c>
      <c r="T1325" t="b">
        <v>0</v>
      </c>
      <c r="U1325">
        <v>1</v>
      </c>
      <c r="V1325" s="4">
        <v>322.93</v>
      </c>
    </row>
    <row r="1326" spans="1:22" x14ac:dyDescent="0.35">
      <c r="A1326" t="s">
        <v>27</v>
      </c>
      <c r="B1326">
        <v>4</v>
      </c>
      <c r="C1326">
        <v>2</v>
      </c>
      <c r="D1326">
        <v>5</v>
      </c>
      <c r="E1326" t="s">
        <v>29</v>
      </c>
      <c r="F1326">
        <v>50</v>
      </c>
      <c r="G1326">
        <v>1</v>
      </c>
      <c r="H1326">
        <v>20</v>
      </c>
      <c r="I1326" t="s">
        <v>26</v>
      </c>
      <c r="J1326" s="3">
        <v>517.55093499999998</v>
      </c>
      <c r="K1326" s="3" t="s">
        <v>24</v>
      </c>
      <c r="L1326" s="3" t="s">
        <v>24</v>
      </c>
      <c r="M1326" s="3" t="s">
        <v>24</v>
      </c>
      <c r="N1326" s="3">
        <v>29375.853999999999</v>
      </c>
      <c r="O1326" s="4"/>
      <c r="P1326" s="4"/>
      <c r="Q1326" s="4"/>
      <c r="R1326" s="5">
        <v>0</v>
      </c>
      <c r="S1326">
        <v>0</v>
      </c>
      <c r="T1326" t="b">
        <v>1</v>
      </c>
      <c r="U1326">
        <v>-1</v>
      </c>
      <c r="V1326" s="4">
        <v>37.369999999999997</v>
      </c>
    </row>
    <row r="1327" spans="1:22" x14ac:dyDescent="0.35">
      <c r="A1327" t="s">
        <v>27</v>
      </c>
      <c r="B1327">
        <v>4</v>
      </c>
      <c r="C1327">
        <v>2</v>
      </c>
      <c r="D1327">
        <v>5</v>
      </c>
      <c r="E1327" t="s">
        <v>29</v>
      </c>
      <c r="F1327">
        <v>50</v>
      </c>
      <c r="G1327">
        <v>3</v>
      </c>
      <c r="H1327">
        <v>20</v>
      </c>
      <c r="I1327" t="s">
        <v>26</v>
      </c>
      <c r="J1327" s="3">
        <v>169.781115</v>
      </c>
      <c r="K1327" s="3">
        <v>29375.853999999999</v>
      </c>
      <c r="L1327" s="3">
        <v>29375.853999999999</v>
      </c>
      <c r="M1327" s="3">
        <v>29375.853999999999</v>
      </c>
      <c r="N1327" s="3">
        <v>29375.853999999999</v>
      </c>
      <c r="O1327" s="4">
        <v>0</v>
      </c>
      <c r="P1327" s="4">
        <v>0</v>
      </c>
      <c r="Q1327" s="4">
        <v>0</v>
      </c>
      <c r="R1327" s="5">
        <v>5.3E-3</v>
      </c>
      <c r="S1327">
        <v>1</v>
      </c>
      <c r="T1327" t="b">
        <v>0</v>
      </c>
      <c r="U1327">
        <v>1</v>
      </c>
      <c r="V1327" s="4">
        <v>108.12</v>
      </c>
    </row>
    <row r="1328" spans="1:22" x14ac:dyDescent="0.35">
      <c r="A1328" t="s">
        <v>27</v>
      </c>
      <c r="B1328">
        <v>4</v>
      </c>
      <c r="C1328">
        <v>2</v>
      </c>
      <c r="D1328">
        <v>5</v>
      </c>
      <c r="E1328" t="s">
        <v>29</v>
      </c>
      <c r="F1328">
        <v>200</v>
      </c>
      <c r="G1328">
        <v>1</v>
      </c>
      <c r="H1328">
        <v>20</v>
      </c>
      <c r="I1328" t="s">
        <v>26</v>
      </c>
      <c r="J1328" s="3">
        <v>502.41396500000002</v>
      </c>
      <c r="K1328" s="3" t="s">
        <v>24</v>
      </c>
      <c r="L1328" s="3" t="s">
        <v>24</v>
      </c>
      <c r="M1328" s="3" t="s">
        <v>24</v>
      </c>
      <c r="N1328" s="3">
        <v>29375.853999999999</v>
      </c>
      <c r="O1328" s="4"/>
      <c r="P1328" s="4"/>
      <c r="Q1328" s="4"/>
      <c r="R1328" s="5">
        <v>0</v>
      </c>
      <c r="S1328">
        <v>0</v>
      </c>
      <c r="T1328" t="b">
        <v>1</v>
      </c>
      <c r="U1328">
        <v>-1</v>
      </c>
      <c r="V1328" s="4">
        <v>110.73</v>
      </c>
    </row>
    <row r="1329" spans="1:22" x14ac:dyDescent="0.35">
      <c r="A1329" t="s">
        <v>27</v>
      </c>
      <c r="B1329">
        <v>4</v>
      </c>
      <c r="C1329">
        <v>2</v>
      </c>
      <c r="D1329">
        <v>5</v>
      </c>
      <c r="E1329" t="s">
        <v>29</v>
      </c>
      <c r="F1329">
        <v>200</v>
      </c>
      <c r="G1329">
        <v>3</v>
      </c>
      <c r="H1329">
        <v>20</v>
      </c>
      <c r="I1329" t="s">
        <v>26</v>
      </c>
      <c r="J1329" s="3">
        <v>391.24994099999998</v>
      </c>
      <c r="K1329" s="3" t="s">
        <v>24</v>
      </c>
      <c r="L1329" s="3" t="s">
        <v>24</v>
      </c>
      <c r="M1329" s="3" t="s">
        <v>24</v>
      </c>
      <c r="N1329" s="3">
        <v>29375.853999999999</v>
      </c>
      <c r="O1329" s="4"/>
      <c r="P1329" s="4"/>
      <c r="Q1329" s="4"/>
      <c r="R1329" s="5">
        <v>0</v>
      </c>
      <c r="S1329">
        <v>0</v>
      </c>
      <c r="T1329" t="b">
        <v>1</v>
      </c>
      <c r="U1329">
        <v>-1</v>
      </c>
      <c r="V1329" s="4">
        <v>326.76</v>
      </c>
    </row>
    <row r="1330" spans="1:22" x14ac:dyDescent="0.35">
      <c r="A1330" t="s">
        <v>27</v>
      </c>
      <c r="B1330">
        <v>4</v>
      </c>
      <c r="C1330">
        <v>2</v>
      </c>
      <c r="D1330">
        <v>10</v>
      </c>
      <c r="E1330" t="s">
        <v>29</v>
      </c>
      <c r="F1330">
        <v>50</v>
      </c>
      <c r="G1330">
        <v>1</v>
      </c>
      <c r="H1330">
        <v>20</v>
      </c>
      <c r="I1330" t="s">
        <v>26</v>
      </c>
      <c r="J1330" s="3">
        <v>1049.1043729999999</v>
      </c>
      <c r="K1330" s="3" t="s">
        <v>24</v>
      </c>
      <c r="L1330" s="3" t="s">
        <v>24</v>
      </c>
      <c r="M1330" s="3" t="s">
        <v>24</v>
      </c>
      <c r="N1330" s="3">
        <v>29375.853999999999</v>
      </c>
      <c r="O1330" s="4"/>
      <c r="P1330" s="4"/>
      <c r="Q1330" s="4"/>
      <c r="R1330" s="5">
        <v>0</v>
      </c>
      <c r="S1330">
        <v>0</v>
      </c>
      <c r="T1330" t="b">
        <v>1</v>
      </c>
      <c r="U1330">
        <v>-1</v>
      </c>
      <c r="V1330" s="4">
        <v>37.25</v>
      </c>
    </row>
    <row r="1331" spans="1:22" x14ac:dyDescent="0.35">
      <c r="A1331" t="s">
        <v>27</v>
      </c>
      <c r="B1331">
        <v>4</v>
      </c>
      <c r="C1331">
        <v>2</v>
      </c>
      <c r="D1331">
        <v>10</v>
      </c>
      <c r="E1331" t="s">
        <v>29</v>
      </c>
      <c r="F1331">
        <v>50</v>
      </c>
      <c r="G1331">
        <v>3</v>
      </c>
      <c r="H1331">
        <v>20</v>
      </c>
      <c r="I1331" t="s">
        <v>26</v>
      </c>
      <c r="J1331" s="3">
        <v>336.98831100000001</v>
      </c>
      <c r="K1331" s="3">
        <v>29375.853999999999</v>
      </c>
      <c r="L1331" s="3">
        <v>29375.853999999999</v>
      </c>
      <c r="M1331" s="3">
        <v>29375.853999999999</v>
      </c>
      <c r="N1331" s="3">
        <v>29375.853999999999</v>
      </c>
      <c r="O1331" s="4">
        <v>0</v>
      </c>
      <c r="P1331" s="4">
        <v>0</v>
      </c>
      <c r="Q1331" s="4">
        <v>0</v>
      </c>
      <c r="R1331" s="5">
        <v>5.0000000000000001E-3</v>
      </c>
      <c r="S1331">
        <v>1</v>
      </c>
      <c r="T1331" t="b">
        <v>0</v>
      </c>
      <c r="U1331">
        <v>1</v>
      </c>
      <c r="V1331" s="4">
        <v>111.6</v>
      </c>
    </row>
    <row r="1332" spans="1:22" x14ac:dyDescent="0.35">
      <c r="A1332" t="s">
        <v>27</v>
      </c>
      <c r="B1332">
        <v>4</v>
      </c>
      <c r="C1332">
        <v>2</v>
      </c>
      <c r="D1332">
        <v>10</v>
      </c>
      <c r="E1332" t="s">
        <v>29</v>
      </c>
      <c r="F1332">
        <v>200</v>
      </c>
      <c r="G1332">
        <v>1</v>
      </c>
      <c r="H1332">
        <v>20</v>
      </c>
      <c r="I1332" t="s">
        <v>26</v>
      </c>
      <c r="J1332" s="3">
        <v>1040.5338630000001</v>
      </c>
      <c r="K1332" s="3" t="s">
        <v>24</v>
      </c>
      <c r="L1332" s="3" t="s">
        <v>24</v>
      </c>
      <c r="M1332" s="3" t="s">
        <v>24</v>
      </c>
      <c r="N1332" s="3">
        <v>29375.853999999999</v>
      </c>
      <c r="O1332" s="4"/>
      <c r="P1332" s="4"/>
      <c r="Q1332" s="4"/>
      <c r="R1332" s="5">
        <v>0</v>
      </c>
      <c r="S1332">
        <v>0</v>
      </c>
      <c r="T1332" t="b">
        <v>1</v>
      </c>
      <c r="U1332">
        <v>-1</v>
      </c>
      <c r="V1332" s="4">
        <v>110.87</v>
      </c>
    </row>
    <row r="1333" spans="1:22" x14ac:dyDescent="0.35">
      <c r="A1333" t="s">
        <v>27</v>
      </c>
      <c r="B1333">
        <v>4</v>
      </c>
      <c r="C1333">
        <v>2</v>
      </c>
      <c r="D1333">
        <v>10</v>
      </c>
      <c r="E1333" t="s">
        <v>29</v>
      </c>
      <c r="F1333">
        <v>200</v>
      </c>
      <c r="G1333">
        <v>3</v>
      </c>
      <c r="H1333">
        <v>20</v>
      </c>
      <c r="I1333" t="s">
        <v>26</v>
      </c>
      <c r="J1333" s="3">
        <v>805.15801399999998</v>
      </c>
      <c r="K1333" s="3" t="s">
        <v>24</v>
      </c>
      <c r="L1333" s="3" t="s">
        <v>24</v>
      </c>
      <c r="M1333" s="3" t="s">
        <v>24</v>
      </c>
      <c r="N1333" s="3">
        <v>29375.853999999999</v>
      </c>
      <c r="O1333" s="4"/>
      <c r="P1333" s="4"/>
      <c r="Q1333" s="4"/>
      <c r="R1333" s="5">
        <v>0</v>
      </c>
      <c r="S1333">
        <v>0</v>
      </c>
      <c r="T1333" t="b">
        <v>1</v>
      </c>
      <c r="U1333">
        <v>-1</v>
      </c>
      <c r="V1333" s="4">
        <v>328.05</v>
      </c>
    </row>
    <row r="1334" spans="1:22" x14ac:dyDescent="0.35">
      <c r="A1334" t="s">
        <v>27</v>
      </c>
      <c r="B1334">
        <v>4</v>
      </c>
      <c r="C1334">
        <v>5</v>
      </c>
      <c r="D1334">
        <v>2</v>
      </c>
      <c r="E1334" t="s">
        <v>29</v>
      </c>
      <c r="F1334">
        <v>50</v>
      </c>
      <c r="G1334">
        <v>1</v>
      </c>
      <c r="H1334">
        <v>20</v>
      </c>
      <c r="I1334" t="s">
        <v>26</v>
      </c>
      <c r="J1334" s="3">
        <v>212.337029</v>
      </c>
      <c r="K1334" s="3" t="s">
        <v>24</v>
      </c>
      <c r="L1334" s="3" t="s">
        <v>24</v>
      </c>
      <c r="M1334" s="3" t="s">
        <v>24</v>
      </c>
      <c r="N1334" s="3">
        <v>29375.853999999999</v>
      </c>
      <c r="O1334" s="4"/>
      <c r="P1334" s="4"/>
      <c r="Q1334" s="4"/>
      <c r="R1334" s="5">
        <v>0</v>
      </c>
      <c r="S1334">
        <v>0</v>
      </c>
      <c r="T1334" t="b">
        <v>1</v>
      </c>
      <c r="U1334">
        <v>-1</v>
      </c>
      <c r="V1334" s="4">
        <v>62.14</v>
      </c>
    </row>
    <row r="1335" spans="1:22" x14ac:dyDescent="0.35">
      <c r="A1335" t="s">
        <v>27</v>
      </c>
      <c r="B1335">
        <v>4</v>
      </c>
      <c r="C1335">
        <v>5</v>
      </c>
      <c r="D1335">
        <v>2</v>
      </c>
      <c r="E1335" t="s">
        <v>29</v>
      </c>
      <c r="F1335">
        <v>50</v>
      </c>
      <c r="G1335">
        <v>3</v>
      </c>
      <c r="H1335">
        <v>20</v>
      </c>
      <c r="I1335" t="s">
        <v>26</v>
      </c>
      <c r="J1335" s="3">
        <v>167.391321</v>
      </c>
      <c r="K1335" s="3">
        <v>29375.853999999999</v>
      </c>
      <c r="L1335" s="3">
        <v>29375.853999999999</v>
      </c>
      <c r="M1335" s="3">
        <v>29375.853999999999</v>
      </c>
      <c r="N1335" s="3">
        <v>29375.853999999999</v>
      </c>
      <c r="O1335" s="4">
        <v>0</v>
      </c>
      <c r="P1335" s="4">
        <v>0</v>
      </c>
      <c r="Q1335" s="4">
        <v>0</v>
      </c>
      <c r="R1335" s="5">
        <v>8.6999999999999994E-3</v>
      </c>
      <c r="S1335">
        <v>1</v>
      </c>
      <c r="T1335" t="b">
        <v>0</v>
      </c>
      <c r="U1335">
        <v>1</v>
      </c>
      <c r="V1335" s="4">
        <v>186.29</v>
      </c>
    </row>
    <row r="1336" spans="1:22" x14ac:dyDescent="0.35">
      <c r="A1336" t="s">
        <v>27</v>
      </c>
      <c r="B1336">
        <v>4</v>
      </c>
      <c r="C1336">
        <v>5</v>
      </c>
      <c r="D1336">
        <v>2</v>
      </c>
      <c r="E1336" t="s">
        <v>29</v>
      </c>
      <c r="F1336">
        <v>200</v>
      </c>
      <c r="G1336">
        <v>1</v>
      </c>
      <c r="H1336">
        <v>20</v>
      </c>
      <c r="I1336" t="s">
        <v>26</v>
      </c>
      <c r="J1336" s="3">
        <v>215.817294</v>
      </c>
      <c r="K1336" s="3" t="s">
        <v>24</v>
      </c>
      <c r="L1336" s="3" t="s">
        <v>24</v>
      </c>
      <c r="M1336" s="3" t="s">
        <v>24</v>
      </c>
      <c r="N1336" s="3">
        <v>29375.853999999999</v>
      </c>
      <c r="O1336" s="4"/>
      <c r="P1336" s="4"/>
      <c r="Q1336" s="4"/>
      <c r="R1336" s="5">
        <v>0</v>
      </c>
      <c r="S1336">
        <v>0</v>
      </c>
      <c r="T1336" t="b">
        <v>1</v>
      </c>
      <c r="U1336">
        <v>-1</v>
      </c>
      <c r="V1336" s="4">
        <v>184.76</v>
      </c>
    </row>
    <row r="1337" spans="1:22" x14ac:dyDescent="0.35">
      <c r="A1337" t="s">
        <v>27</v>
      </c>
      <c r="B1337">
        <v>4</v>
      </c>
      <c r="C1337">
        <v>5</v>
      </c>
      <c r="D1337">
        <v>2</v>
      </c>
      <c r="E1337" t="s">
        <v>29</v>
      </c>
      <c r="F1337">
        <v>200</v>
      </c>
      <c r="G1337">
        <v>3</v>
      </c>
      <c r="H1337">
        <v>20</v>
      </c>
      <c r="I1337" t="s">
        <v>26</v>
      </c>
      <c r="J1337" s="3">
        <v>118.430407</v>
      </c>
      <c r="K1337" s="3">
        <v>29375.853999999999</v>
      </c>
      <c r="L1337" s="3">
        <v>29375.853999999999</v>
      </c>
      <c r="M1337" s="3">
        <v>29375.853999999999</v>
      </c>
      <c r="N1337" s="3">
        <v>29375.853999999999</v>
      </c>
      <c r="O1337" s="4">
        <v>0</v>
      </c>
      <c r="P1337" s="4">
        <v>0</v>
      </c>
      <c r="Q1337" s="4">
        <v>0</v>
      </c>
      <c r="R1337" s="5">
        <v>2.0000000000000001E-4</v>
      </c>
      <c r="S1337">
        <v>1</v>
      </c>
      <c r="T1337" t="b">
        <v>0</v>
      </c>
      <c r="U1337">
        <v>1</v>
      </c>
      <c r="V1337" s="4">
        <v>550.95000000000005</v>
      </c>
    </row>
    <row r="1338" spans="1:22" x14ac:dyDescent="0.35">
      <c r="A1338" t="s">
        <v>27</v>
      </c>
      <c r="B1338">
        <v>4</v>
      </c>
      <c r="C1338">
        <v>5</v>
      </c>
      <c r="D1338">
        <v>5</v>
      </c>
      <c r="E1338" t="s">
        <v>29</v>
      </c>
      <c r="F1338">
        <v>50</v>
      </c>
      <c r="G1338">
        <v>1</v>
      </c>
      <c r="H1338">
        <v>20</v>
      </c>
      <c r="I1338" t="s">
        <v>26</v>
      </c>
      <c r="J1338" s="3">
        <v>540.356717</v>
      </c>
      <c r="K1338" s="3">
        <v>29375.853999999999</v>
      </c>
      <c r="L1338" s="3">
        <v>29375.853999999999</v>
      </c>
      <c r="M1338" s="3">
        <v>29375.853999999999</v>
      </c>
      <c r="N1338" s="3">
        <v>29375.853999999999</v>
      </c>
      <c r="O1338" s="4">
        <v>0</v>
      </c>
      <c r="P1338" s="4">
        <v>0</v>
      </c>
      <c r="Q1338" s="4">
        <v>0</v>
      </c>
      <c r="R1338" s="5">
        <v>2.0000000000000001E-4</v>
      </c>
      <c r="S1338">
        <v>1</v>
      </c>
      <c r="T1338" t="b">
        <v>0</v>
      </c>
      <c r="U1338">
        <v>1</v>
      </c>
      <c r="V1338" s="4">
        <v>62.58</v>
      </c>
    </row>
    <row r="1339" spans="1:22" x14ac:dyDescent="0.35">
      <c r="A1339" t="s">
        <v>27</v>
      </c>
      <c r="B1339">
        <v>4</v>
      </c>
      <c r="C1339">
        <v>5</v>
      </c>
      <c r="D1339">
        <v>5</v>
      </c>
      <c r="E1339" t="s">
        <v>29</v>
      </c>
      <c r="F1339">
        <v>50</v>
      </c>
      <c r="G1339">
        <v>3</v>
      </c>
      <c r="H1339">
        <v>20</v>
      </c>
      <c r="I1339" t="s">
        <v>26</v>
      </c>
      <c r="J1339" s="3">
        <v>523.03365599999995</v>
      </c>
      <c r="K1339" s="3">
        <v>29375.853999999999</v>
      </c>
      <c r="L1339" s="3">
        <v>29375.853999999999</v>
      </c>
      <c r="M1339" s="3">
        <v>29375.853999999999</v>
      </c>
      <c r="N1339" s="3">
        <v>29375.853999999999</v>
      </c>
      <c r="O1339" s="4">
        <v>0</v>
      </c>
      <c r="P1339" s="4">
        <v>0</v>
      </c>
      <c r="Q1339" s="4">
        <v>0</v>
      </c>
      <c r="R1339" s="5">
        <v>2.9999999999999997E-4</v>
      </c>
      <c r="S1339">
        <v>1</v>
      </c>
      <c r="T1339" t="b">
        <v>0</v>
      </c>
      <c r="U1339">
        <v>1</v>
      </c>
      <c r="V1339" s="4">
        <v>185.82</v>
      </c>
    </row>
    <row r="1340" spans="1:22" x14ac:dyDescent="0.35">
      <c r="A1340" t="s">
        <v>27</v>
      </c>
      <c r="B1340">
        <v>4</v>
      </c>
      <c r="C1340">
        <v>5</v>
      </c>
      <c r="D1340">
        <v>5</v>
      </c>
      <c r="E1340" t="s">
        <v>29</v>
      </c>
      <c r="F1340">
        <v>200</v>
      </c>
      <c r="G1340">
        <v>1</v>
      </c>
      <c r="H1340">
        <v>20</v>
      </c>
      <c r="I1340" t="s">
        <v>26</v>
      </c>
      <c r="J1340" s="3">
        <v>526.60904300000004</v>
      </c>
      <c r="K1340" s="3" t="s">
        <v>24</v>
      </c>
      <c r="L1340" s="3" t="s">
        <v>24</v>
      </c>
      <c r="M1340" s="3" t="s">
        <v>24</v>
      </c>
      <c r="N1340" s="3">
        <v>29375.853999999999</v>
      </c>
      <c r="O1340" s="4"/>
      <c r="P1340" s="4"/>
      <c r="Q1340" s="4"/>
      <c r="R1340" s="5">
        <v>0</v>
      </c>
      <c r="S1340">
        <v>0</v>
      </c>
      <c r="T1340" t="b">
        <v>1</v>
      </c>
      <c r="U1340">
        <v>-1</v>
      </c>
      <c r="V1340" s="4">
        <v>185.24</v>
      </c>
    </row>
    <row r="1341" spans="1:22" x14ac:dyDescent="0.35">
      <c r="A1341" t="s">
        <v>27</v>
      </c>
      <c r="B1341">
        <v>4</v>
      </c>
      <c r="C1341">
        <v>5</v>
      </c>
      <c r="D1341">
        <v>5</v>
      </c>
      <c r="E1341" t="s">
        <v>29</v>
      </c>
      <c r="F1341">
        <v>200</v>
      </c>
      <c r="G1341">
        <v>3</v>
      </c>
      <c r="H1341">
        <v>20</v>
      </c>
      <c r="I1341" t="s">
        <v>26</v>
      </c>
      <c r="J1341" s="3">
        <v>328.58126099999998</v>
      </c>
      <c r="K1341" s="3">
        <v>29375.853999999999</v>
      </c>
      <c r="L1341" s="3">
        <v>29375.853999999999</v>
      </c>
      <c r="M1341" s="3">
        <v>29375.853999999999</v>
      </c>
      <c r="N1341" s="3">
        <v>29375.853999999999</v>
      </c>
      <c r="O1341" s="4">
        <v>0</v>
      </c>
      <c r="P1341" s="4">
        <v>0</v>
      </c>
      <c r="Q1341" s="4">
        <v>0</v>
      </c>
      <c r="R1341" s="5">
        <v>1.4E-3</v>
      </c>
      <c r="S1341">
        <v>1</v>
      </c>
      <c r="T1341" t="b">
        <v>0</v>
      </c>
      <c r="U1341">
        <v>1</v>
      </c>
      <c r="V1341" s="4">
        <v>552.66999999999996</v>
      </c>
    </row>
    <row r="1342" spans="1:22" x14ac:dyDescent="0.35">
      <c r="A1342" t="s">
        <v>27</v>
      </c>
      <c r="B1342">
        <v>4</v>
      </c>
      <c r="C1342">
        <v>5</v>
      </c>
      <c r="D1342">
        <v>10</v>
      </c>
      <c r="E1342" t="s">
        <v>29</v>
      </c>
      <c r="F1342">
        <v>50</v>
      </c>
      <c r="G1342">
        <v>1</v>
      </c>
      <c r="H1342">
        <v>20</v>
      </c>
      <c r="I1342" t="s">
        <v>26</v>
      </c>
      <c r="J1342" s="3">
        <v>1056.8336999999999</v>
      </c>
      <c r="K1342" s="3" t="s">
        <v>24</v>
      </c>
      <c r="L1342" s="3" t="s">
        <v>24</v>
      </c>
      <c r="M1342" s="3" t="s">
        <v>24</v>
      </c>
      <c r="N1342" s="3">
        <v>29375.853999999999</v>
      </c>
      <c r="O1342" s="4"/>
      <c r="P1342" s="4"/>
      <c r="Q1342" s="4"/>
      <c r="R1342" s="5">
        <v>0</v>
      </c>
      <c r="S1342">
        <v>0</v>
      </c>
      <c r="T1342" t="b">
        <v>1</v>
      </c>
      <c r="U1342">
        <v>-1</v>
      </c>
      <c r="V1342" s="4">
        <v>62.11</v>
      </c>
    </row>
    <row r="1343" spans="1:22" x14ac:dyDescent="0.35">
      <c r="A1343" t="s">
        <v>27</v>
      </c>
      <c r="B1343">
        <v>4</v>
      </c>
      <c r="C1343">
        <v>5</v>
      </c>
      <c r="D1343">
        <v>10</v>
      </c>
      <c r="E1343" t="s">
        <v>29</v>
      </c>
      <c r="F1343">
        <v>50</v>
      </c>
      <c r="G1343">
        <v>3</v>
      </c>
      <c r="H1343">
        <v>20</v>
      </c>
      <c r="I1343" t="s">
        <v>26</v>
      </c>
      <c r="J1343" s="3">
        <v>855.53793399999995</v>
      </c>
      <c r="K1343" s="3">
        <v>29375.853999999999</v>
      </c>
      <c r="L1343" s="3">
        <v>29375.853999999999</v>
      </c>
      <c r="M1343" s="3">
        <v>29375.853999999999</v>
      </c>
      <c r="N1343" s="3">
        <v>29375.853999999999</v>
      </c>
      <c r="O1343" s="4">
        <v>0</v>
      </c>
      <c r="P1343" s="4">
        <v>0</v>
      </c>
      <c r="Q1343" s="4">
        <v>0</v>
      </c>
      <c r="R1343" s="5">
        <v>1E-4</v>
      </c>
      <c r="S1343">
        <v>1</v>
      </c>
      <c r="T1343" t="b">
        <v>0</v>
      </c>
      <c r="U1343">
        <v>1</v>
      </c>
      <c r="V1343" s="4">
        <v>186.43</v>
      </c>
    </row>
    <row r="1344" spans="1:22" x14ac:dyDescent="0.35">
      <c r="A1344" t="s">
        <v>27</v>
      </c>
      <c r="B1344">
        <v>4</v>
      </c>
      <c r="C1344">
        <v>5</v>
      </c>
      <c r="D1344">
        <v>10</v>
      </c>
      <c r="E1344" t="s">
        <v>29</v>
      </c>
      <c r="F1344">
        <v>200</v>
      </c>
      <c r="G1344">
        <v>1</v>
      </c>
      <c r="H1344">
        <v>20</v>
      </c>
      <c r="I1344" t="s">
        <v>26</v>
      </c>
      <c r="J1344" s="3">
        <v>1060.6737949999999</v>
      </c>
      <c r="K1344" s="3" t="s">
        <v>24</v>
      </c>
      <c r="L1344" s="3" t="s">
        <v>24</v>
      </c>
      <c r="M1344" s="3" t="s">
        <v>24</v>
      </c>
      <c r="N1344" s="3">
        <v>29375.853999999999</v>
      </c>
      <c r="O1344" s="4"/>
      <c r="P1344" s="4"/>
      <c r="Q1344" s="4"/>
      <c r="R1344" s="5">
        <v>0</v>
      </c>
      <c r="S1344">
        <v>0</v>
      </c>
      <c r="T1344" t="b">
        <v>1</v>
      </c>
      <c r="U1344">
        <v>-1</v>
      </c>
      <c r="V1344" s="4">
        <v>184.25</v>
      </c>
    </row>
    <row r="1345" spans="1:22" x14ac:dyDescent="0.35">
      <c r="A1345" t="s">
        <v>27</v>
      </c>
      <c r="B1345">
        <v>4</v>
      </c>
      <c r="C1345">
        <v>5</v>
      </c>
      <c r="D1345">
        <v>10</v>
      </c>
      <c r="E1345" t="s">
        <v>29</v>
      </c>
      <c r="F1345">
        <v>200</v>
      </c>
      <c r="G1345">
        <v>3</v>
      </c>
      <c r="H1345">
        <v>20</v>
      </c>
      <c r="I1345" t="s">
        <v>26</v>
      </c>
      <c r="J1345" s="3">
        <v>513.55138299999999</v>
      </c>
      <c r="K1345" s="3">
        <v>29375.853999999999</v>
      </c>
      <c r="L1345" s="3">
        <v>29375.853999999999</v>
      </c>
      <c r="M1345" s="3">
        <v>29375.853999999999</v>
      </c>
      <c r="N1345" s="3">
        <v>29375.853999999999</v>
      </c>
      <c r="O1345" s="4">
        <v>0</v>
      </c>
      <c r="P1345" s="4">
        <v>0</v>
      </c>
      <c r="Q1345" s="4">
        <v>0</v>
      </c>
      <c r="R1345" s="5">
        <v>1.38E-2</v>
      </c>
      <c r="S1345">
        <v>1</v>
      </c>
      <c r="T1345" t="b">
        <v>0</v>
      </c>
      <c r="U1345">
        <v>1</v>
      </c>
      <c r="V1345" s="4">
        <v>552.24</v>
      </c>
    </row>
    <row r="1346" spans="1:22" x14ac:dyDescent="0.35">
      <c r="A1346" t="s">
        <v>28</v>
      </c>
      <c r="B1346">
        <v>1</v>
      </c>
      <c r="C1346">
        <v>2</v>
      </c>
      <c r="D1346">
        <v>2</v>
      </c>
      <c r="E1346" t="s">
        <v>29</v>
      </c>
      <c r="F1346">
        <v>50</v>
      </c>
      <c r="G1346">
        <v>1</v>
      </c>
      <c r="H1346">
        <v>16</v>
      </c>
      <c r="I1346" t="s">
        <v>23</v>
      </c>
      <c r="J1346" s="3">
        <v>58.290667999999997</v>
      </c>
      <c r="K1346" s="3">
        <v>11816.173000000001</v>
      </c>
      <c r="L1346" s="3">
        <v>12755.084000000001</v>
      </c>
      <c r="M1346" s="3">
        <v>11816.173000000001</v>
      </c>
      <c r="N1346" s="3">
        <v>10216.15</v>
      </c>
      <c r="O1346" s="4">
        <v>15.6617</v>
      </c>
      <c r="P1346" s="4">
        <v>24.8522</v>
      </c>
      <c r="Q1346" s="4">
        <v>15.6617</v>
      </c>
      <c r="R1346" s="5">
        <v>4.0000000000000002E-4</v>
      </c>
      <c r="S1346">
        <v>4</v>
      </c>
      <c r="T1346" t="b">
        <v>0</v>
      </c>
      <c r="U1346">
        <v>3</v>
      </c>
      <c r="V1346" s="4">
        <v>25.62</v>
      </c>
    </row>
    <row r="1347" spans="1:22" x14ac:dyDescent="0.35">
      <c r="A1347" t="s">
        <v>28</v>
      </c>
      <c r="B1347">
        <v>1</v>
      </c>
      <c r="C1347">
        <v>2</v>
      </c>
      <c r="D1347">
        <v>2</v>
      </c>
      <c r="E1347" t="s">
        <v>29</v>
      </c>
      <c r="F1347">
        <v>50</v>
      </c>
      <c r="G1347">
        <v>3</v>
      </c>
      <c r="H1347">
        <v>16</v>
      </c>
      <c r="I1347" t="s">
        <v>23</v>
      </c>
      <c r="J1347" s="3">
        <v>39.640839</v>
      </c>
      <c r="K1347" s="3">
        <v>12173.496999999999</v>
      </c>
      <c r="L1347" s="3">
        <v>13295.13</v>
      </c>
      <c r="M1347" s="3">
        <v>10216.15</v>
      </c>
      <c r="N1347" s="3">
        <v>10216.15</v>
      </c>
      <c r="O1347" s="4">
        <v>19.159300000000002</v>
      </c>
      <c r="P1347" s="4">
        <v>30.138400000000001</v>
      </c>
      <c r="Q1347" s="4">
        <v>0</v>
      </c>
      <c r="R1347" s="5">
        <v>6.3399999999999998E-2</v>
      </c>
      <c r="S1347">
        <v>24</v>
      </c>
      <c r="T1347" t="b">
        <v>0</v>
      </c>
      <c r="U1347">
        <v>22</v>
      </c>
      <c r="V1347" s="4">
        <v>73.03</v>
      </c>
    </row>
    <row r="1348" spans="1:22" x14ac:dyDescent="0.35">
      <c r="A1348" t="s">
        <v>28</v>
      </c>
      <c r="B1348">
        <v>1</v>
      </c>
      <c r="C1348">
        <v>2</v>
      </c>
      <c r="D1348">
        <v>2</v>
      </c>
      <c r="E1348" t="s">
        <v>29</v>
      </c>
      <c r="F1348">
        <v>200</v>
      </c>
      <c r="G1348">
        <v>1</v>
      </c>
      <c r="H1348">
        <v>16</v>
      </c>
      <c r="I1348" t="s">
        <v>23</v>
      </c>
      <c r="J1348" s="3">
        <v>46.169629</v>
      </c>
      <c r="K1348" s="3">
        <v>10216.15</v>
      </c>
      <c r="L1348" s="3">
        <v>13295.13</v>
      </c>
      <c r="M1348" s="3">
        <v>10216.15</v>
      </c>
      <c r="N1348" s="3">
        <v>10216.15</v>
      </c>
      <c r="O1348" s="4">
        <v>0</v>
      </c>
      <c r="P1348" s="4">
        <v>30.138400000000001</v>
      </c>
      <c r="Q1348" s="4">
        <v>0</v>
      </c>
      <c r="R1348" s="5">
        <v>6.8999999999999999E-3</v>
      </c>
      <c r="S1348">
        <v>24</v>
      </c>
      <c r="T1348" t="b">
        <v>0</v>
      </c>
      <c r="U1348">
        <v>6</v>
      </c>
      <c r="V1348" s="4">
        <v>66.42</v>
      </c>
    </row>
    <row r="1349" spans="1:22" x14ac:dyDescent="0.35">
      <c r="A1349" t="s">
        <v>28</v>
      </c>
      <c r="B1349">
        <v>1</v>
      </c>
      <c r="C1349">
        <v>2</v>
      </c>
      <c r="D1349">
        <v>2</v>
      </c>
      <c r="E1349" t="s">
        <v>29</v>
      </c>
      <c r="F1349">
        <v>200</v>
      </c>
      <c r="G1349">
        <v>3</v>
      </c>
      <c r="H1349">
        <v>16</v>
      </c>
      <c r="I1349" t="s">
        <v>23</v>
      </c>
      <c r="J1349" s="3">
        <v>46.169629</v>
      </c>
      <c r="K1349" s="3">
        <v>10216.15</v>
      </c>
      <c r="L1349" s="3">
        <v>13295.13</v>
      </c>
      <c r="M1349" s="3">
        <v>10216.15</v>
      </c>
      <c r="N1349" s="3">
        <v>10216.15</v>
      </c>
      <c r="O1349" s="4">
        <v>0</v>
      </c>
      <c r="P1349" s="4">
        <v>30.138400000000001</v>
      </c>
      <c r="Q1349" s="4">
        <v>0</v>
      </c>
      <c r="R1349" s="5">
        <v>6.8999999999999999E-3</v>
      </c>
      <c r="S1349">
        <v>24</v>
      </c>
      <c r="T1349" t="b">
        <v>0</v>
      </c>
      <c r="U1349">
        <v>6</v>
      </c>
      <c r="V1349" s="4">
        <v>208.22</v>
      </c>
    </row>
    <row r="1350" spans="1:22" x14ac:dyDescent="0.35">
      <c r="A1350" t="s">
        <v>28</v>
      </c>
      <c r="B1350">
        <v>1</v>
      </c>
      <c r="C1350">
        <v>2</v>
      </c>
      <c r="D1350">
        <v>5</v>
      </c>
      <c r="E1350" t="s">
        <v>29</v>
      </c>
      <c r="F1350">
        <v>50</v>
      </c>
      <c r="G1350">
        <v>1</v>
      </c>
      <c r="H1350">
        <v>16</v>
      </c>
      <c r="I1350" t="s">
        <v>23</v>
      </c>
      <c r="J1350" s="3">
        <v>172.30199300000001</v>
      </c>
      <c r="K1350" s="3">
        <v>10216.15</v>
      </c>
      <c r="L1350" s="3">
        <v>12905.233</v>
      </c>
      <c r="M1350" s="3">
        <v>10216.15</v>
      </c>
      <c r="N1350" s="3">
        <v>10216.15</v>
      </c>
      <c r="O1350" s="4">
        <v>0</v>
      </c>
      <c r="P1350" s="4">
        <v>26.321899999999999</v>
      </c>
      <c r="Q1350" s="4">
        <v>0</v>
      </c>
      <c r="R1350" s="5">
        <v>0.01</v>
      </c>
      <c r="S1350">
        <v>24</v>
      </c>
      <c r="T1350" t="b">
        <v>0</v>
      </c>
      <c r="U1350">
        <v>2</v>
      </c>
      <c r="V1350" s="4">
        <v>26.06</v>
      </c>
    </row>
    <row r="1351" spans="1:22" x14ac:dyDescent="0.35">
      <c r="A1351" t="s">
        <v>28</v>
      </c>
      <c r="B1351">
        <v>1</v>
      </c>
      <c r="C1351">
        <v>2</v>
      </c>
      <c r="D1351">
        <v>5</v>
      </c>
      <c r="E1351" t="s">
        <v>29</v>
      </c>
      <c r="F1351">
        <v>50</v>
      </c>
      <c r="G1351">
        <v>3</v>
      </c>
      <c r="H1351">
        <v>16</v>
      </c>
      <c r="I1351" t="s">
        <v>23</v>
      </c>
      <c r="J1351" s="3">
        <v>90.195932999999997</v>
      </c>
      <c r="K1351" s="3">
        <v>10216.15</v>
      </c>
      <c r="L1351" s="3">
        <v>11886.797</v>
      </c>
      <c r="M1351" s="3">
        <v>10216.15</v>
      </c>
      <c r="N1351" s="3">
        <v>10216.15</v>
      </c>
      <c r="O1351" s="4">
        <v>0</v>
      </c>
      <c r="P1351" s="4">
        <v>16.353000000000002</v>
      </c>
      <c r="Q1351" s="4">
        <v>0</v>
      </c>
      <c r="R1351" s="5">
        <v>1.3899999999999999E-2</v>
      </c>
      <c r="S1351">
        <v>24</v>
      </c>
      <c r="T1351" t="b">
        <v>0</v>
      </c>
      <c r="U1351">
        <v>2</v>
      </c>
      <c r="V1351" s="4">
        <v>75.25</v>
      </c>
    </row>
    <row r="1352" spans="1:22" x14ac:dyDescent="0.35">
      <c r="A1352" t="s">
        <v>28</v>
      </c>
      <c r="B1352">
        <v>1</v>
      </c>
      <c r="C1352">
        <v>2</v>
      </c>
      <c r="D1352">
        <v>5</v>
      </c>
      <c r="E1352" t="s">
        <v>29</v>
      </c>
      <c r="F1352">
        <v>200</v>
      </c>
      <c r="G1352">
        <v>1</v>
      </c>
      <c r="H1352">
        <v>16</v>
      </c>
      <c r="I1352" t="s">
        <v>23</v>
      </c>
      <c r="J1352" s="3">
        <v>136.43500800000001</v>
      </c>
      <c r="K1352" s="3">
        <v>11816.173000000001</v>
      </c>
      <c r="L1352" s="3">
        <v>11886.797</v>
      </c>
      <c r="M1352" s="3">
        <v>10216.15</v>
      </c>
      <c r="N1352" s="3">
        <v>10216.15</v>
      </c>
      <c r="O1352" s="4">
        <v>15.6617</v>
      </c>
      <c r="P1352" s="4">
        <v>16.353000000000002</v>
      </c>
      <c r="Q1352" s="4">
        <v>0</v>
      </c>
      <c r="R1352" s="5">
        <v>2.6200000000000001E-2</v>
      </c>
      <c r="S1352">
        <v>24</v>
      </c>
      <c r="T1352" t="b">
        <v>0</v>
      </c>
      <c r="U1352">
        <v>19</v>
      </c>
      <c r="V1352" s="4">
        <v>75.02</v>
      </c>
    </row>
    <row r="1353" spans="1:22" x14ac:dyDescent="0.35">
      <c r="A1353" t="s">
        <v>28</v>
      </c>
      <c r="B1353">
        <v>1</v>
      </c>
      <c r="C1353">
        <v>2</v>
      </c>
      <c r="D1353">
        <v>5</v>
      </c>
      <c r="E1353" t="s">
        <v>29</v>
      </c>
      <c r="F1353">
        <v>200</v>
      </c>
      <c r="G1353">
        <v>3</v>
      </c>
      <c r="H1353">
        <v>16</v>
      </c>
      <c r="I1353" t="s">
        <v>23</v>
      </c>
      <c r="J1353" s="3">
        <v>107.557545</v>
      </c>
      <c r="K1353" s="3">
        <v>10216.15</v>
      </c>
      <c r="L1353" s="3">
        <v>12206.07</v>
      </c>
      <c r="M1353" s="3">
        <v>10216.15</v>
      </c>
      <c r="N1353" s="3">
        <v>10216.15</v>
      </c>
      <c r="O1353" s="4">
        <v>0</v>
      </c>
      <c r="P1353" s="4">
        <v>19.478200000000001</v>
      </c>
      <c r="Q1353" s="4">
        <v>0</v>
      </c>
      <c r="R1353" s="5">
        <v>0.1036</v>
      </c>
      <c r="S1353">
        <v>24</v>
      </c>
      <c r="T1353" t="b">
        <v>0</v>
      </c>
      <c r="U1353">
        <v>3</v>
      </c>
      <c r="V1353" s="4">
        <v>215.53</v>
      </c>
    </row>
    <row r="1354" spans="1:22" x14ac:dyDescent="0.35">
      <c r="A1354" t="s">
        <v>28</v>
      </c>
      <c r="B1354">
        <v>1</v>
      </c>
      <c r="C1354">
        <v>2</v>
      </c>
      <c r="D1354">
        <v>10</v>
      </c>
      <c r="E1354" t="s">
        <v>29</v>
      </c>
      <c r="F1354">
        <v>50</v>
      </c>
      <c r="G1354">
        <v>1</v>
      </c>
      <c r="H1354">
        <v>16</v>
      </c>
      <c r="I1354" t="s">
        <v>23</v>
      </c>
      <c r="J1354" s="3">
        <v>633.35656200000005</v>
      </c>
      <c r="K1354" s="3">
        <v>10216.15</v>
      </c>
      <c r="L1354" s="3">
        <v>12937.806</v>
      </c>
      <c r="M1354" s="3">
        <v>10216.15</v>
      </c>
      <c r="N1354" s="3">
        <v>10216.15</v>
      </c>
      <c r="O1354" s="4">
        <v>0</v>
      </c>
      <c r="P1354" s="4">
        <v>26.640699999999999</v>
      </c>
      <c r="Q1354" s="4">
        <v>0</v>
      </c>
      <c r="R1354" s="5">
        <v>3.5999999999999999E-3</v>
      </c>
      <c r="S1354">
        <v>17</v>
      </c>
      <c r="T1354" t="b">
        <v>0</v>
      </c>
      <c r="U1354">
        <v>14</v>
      </c>
      <c r="V1354" s="4">
        <v>26.58</v>
      </c>
    </row>
    <row r="1355" spans="1:22" x14ac:dyDescent="0.35">
      <c r="A1355" t="s">
        <v>28</v>
      </c>
      <c r="B1355">
        <v>1</v>
      </c>
      <c r="C1355">
        <v>2</v>
      </c>
      <c r="D1355">
        <v>10</v>
      </c>
      <c r="E1355" t="s">
        <v>29</v>
      </c>
      <c r="F1355">
        <v>50</v>
      </c>
      <c r="G1355">
        <v>3</v>
      </c>
      <c r="H1355">
        <v>16</v>
      </c>
      <c r="I1355" t="s">
        <v>23</v>
      </c>
      <c r="J1355" s="3">
        <v>134.23287300000001</v>
      </c>
      <c r="K1355" s="3">
        <v>10216.15</v>
      </c>
      <c r="L1355" s="3">
        <v>11886.797</v>
      </c>
      <c r="M1355" s="3">
        <v>10216.15</v>
      </c>
      <c r="N1355" s="3">
        <v>10216.15</v>
      </c>
      <c r="O1355" s="4">
        <v>0</v>
      </c>
      <c r="P1355" s="4">
        <v>16.353000000000002</v>
      </c>
      <c r="Q1355" s="4">
        <v>0</v>
      </c>
      <c r="R1355" s="5">
        <v>5.7299999999999997E-2</v>
      </c>
      <c r="S1355">
        <v>24</v>
      </c>
      <c r="T1355" t="b">
        <v>0</v>
      </c>
      <c r="U1355">
        <v>6</v>
      </c>
      <c r="V1355" s="4">
        <v>73.2</v>
      </c>
    </row>
    <row r="1356" spans="1:22" x14ac:dyDescent="0.35">
      <c r="A1356" t="s">
        <v>28</v>
      </c>
      <c r="B1356">
        <v>1</v>
      </c>
      <c r="C1356">
        <v>2</v>
      </c>
      <c r="D1356">
        <v>10</v>
      </c>
      <c r="E1356" t="s">
        <v>29</v>
      </c>
      <c r="F1356">
        <v>200</v>
      </c>
      <c r="G1356">
        <v>1</v>
      </c>
      <c r="H1356">
        <v>16</v>
      </c>
      <c r="I1356" t="s">
        <v>23</v>
      </c>
      <c r="J1356" s="3">
        <v>636.09257500000001</v>
      </c>
      <c r="K1356" s="3">
        <v>11886.797</v>
      </c>
      <c r="L1356" s="3">
        <v>11886.797</v>
      </c>
      <c r="M1356" s="3">
        <v>10216.15</v>
      </c>
      <c r="N1356" s="3">
        <v>10216.15</v>
      </c>
      <c r="O1356" s="4">
        <v>16.353000000000002</v>
      </c>
      <c r="P1356" s="4">
        <v>16.353000000000002</v>
      </c>
      <c r="Q1356" s="4">
        <v>0</v>
      </c>
      <c r="R1356" s="5">
        <v>2.8E-3</v>
      </c>
      <c r="S1356">
        <v>17</v>
      </c>
      <c r="T1356" t="b">
        <v>0</v>
      </c>
      <c r="U1356">
        <v>11</v>
      </c>
      <c r="V1356" s="4">
        <v>79.16</v>
      </c>
    </row>
    <row r="1357" spans="1:22" x14ac:dyDescent="0.35">
      <c r="A1357" t="s">
        <v>28</v>
      </c>
      <c r="B1357">
        <v>1</v>
      </c>
      <c r="C1357">
        <v>2</v>
      </c>
      <c r="D1357">
        <v>10</v>
      </c>
      <c r="E1357" t="s">
        <v>29</v>
      </c>
      <c r="F1357">
        <v>200</v>
      </c>
      <c r="G1357">
        <v>3</v>
      </c>
      <c r="H1357">
        <v>16</v>
      </c>
      <c r="I1357" t="s">
        <v>23</v>
      </c>
      <c r="J1357" s="3">
        <v>157.035956</v>
      </c>
      <c r="K1357" s="3">
        <v>12173.496999999999</v>
      </c>
      <c r="L1357" s="3">
        <v>13295.13</v>
      </c>
      <c r="M1357" s="3">
        <v>10216.15</v>
      </c>
      <c r="N1357" s="3">
        <v>10216.15</v>
      </c>
      <c r="O1357" s="4">
        <v>19.159300000000002</v>
      </c>
      <c r="P1357" s="4">
        <v>30.138400000000001</v>
      </c>
      <c r="Q1357" s="4">
        <v>0</v>
      </c>
      <c r="R1357" s="5">
        <v>2.1100000000000001E-2</v>
      </c>
      <c r="S1357">
        <v>24</v>
      </c>
      <c r="T1357" t="b">
        <v>0</v>
      </c>
      <c r="U1357">
        <v>22</v>
      </c>
      <c r="V1357" s="4">
        <v>218.45</v>
      </c>
    </row>
    <row r="1358" spans="1:22" x14ac:dyDescent="0.35">
      <c r="A1358" t="s">
        <v>28</v>
      </c>
      <c r="B1358">
        <v>1</v>
      </c>
      <c r="C1358">
        <v>5</v>
      </c>
      <c r="D1358">
        <v>2</v>
      </c>
      <c r="E1358" t="s">
        <v>29</v>
      </c>
      <c r="F1358">
        <v>50</v>
      </c>
      <c r="G1358">
        <v>1</v>
      </c>
      <c r="H1358">
        <v>16</v>
      </c>
      <c r="I1358" t="s">
        <v>23</v>
      </c>
      <c r="J1358" s="3">
        <v>131.46919500000001</v>
      </c>
      <c r="K1358" s="3">
        <v>12173.496999999999</v>
      </c>
      <c r="L1358" s="3">
        <v>12173.496999999999</v>
      </c>
      <c r="M1358" s="3">
        <v>12173.496999999999</v>
      </c>
      <c r="N1358" s="3">
        <v>10216.15</v>
      </c>
      <c r="O1358" s="4">
        <v>19.159300000000002</v>
      </c>
      <c r="P1358" s="4">
        <v>19.159300000000002</v>
      </c>
      <c r="Q1358" s="4">
        <v>19.159300000000002</v>
      </c>
      <c r="R1358" s="5">
        <v>1.5E-3</v>
      </c>
      <c r="S1358">
        <v>10</v>
      </c>
      <c r="T1358" t="b">
        <v>0</v>
      </c>
      <c r="U1358">
        <v>1</v>
      </c>
      <c r="V1358" s="4">
        <v>33.58</v>
      </c>
    </row>
    <row r="1359" spans="1:22" x14ac:dyDescent="0.35">
      <c r="A1359" t="s">
        <v>28</v>
      </c>
      <c r="B1359">
        <v>1</v>
      </c>
      <c r="C1359">
        <v>5</v>
      </c>
      <c r="D1359">
        <v>2</v>
      </c>
      <c r="E1359" t="s">
        <v>29</v>
      </c>
      <c r="F1359">
        <v>50</v>
      </c>
      <c r="G1359">
        <v>3</v>
      </c>
      <c r="H1359">
        <v>16</v>
      </c>
      <c r="I1359" t="s">
        <v>23</v>
      </c>
      <c r="J1359" s="3">
        <v>105.41990300000001</v>
      </c>
      <c r="K1359" s="3">
        <v>10216.15</v>
      </c>
      <c r="L1359" s="3">
        <v>11886.797</v>
      </c>
      <c r="M1359" s="3">
        <v>10216.15</v>
      </c>
      <c r="N1359" s="3">
        <v>10216.15</v>
      </c>
      <c r="O1359" s="4">
        <v>0</v>
      </c>
      <c r="P1359" s="4">
        <v>16.353000000000002</v>
      </c>
      <c r="Q1359" s="4">
        <v>0</v>
      </c>
      <c r="R1359" s="5">
        <v>3.0200000000000001E-2</v>
      </c>
      <c r="S1359">
        <v>24</v>
      </c>
      <c r="T1359" t="b">
        <v>0</v>
      </c>
      <c r="U1359">
        <v>2</v>
      </c>
      <c r="V1359" s="4">
        <v>99.88</v>
      </c>
    </row>
    <row r="1360" spans="1:22" x14ac:dyDescent="0.35">
      <c r="A1360" t="s">
        <v>28</v>
      </c>
      <c r="B1360">
        <v>1</v>
      </c>
      <c r="C1360">
        <v>5</v>
      </c>
      <c r="D1360">
        <v>2</v>
      </c>
      <c r="E1360" t="s">
        <v>29</v>
      </c>
      <c r="F1360">
        <v>200</v>
      </c>
      <c r="G1360">
        <v>1</v>
      </c>
      <c r="H1360">
        <v>16</v>
      </c>
      <c r="I1360" t="s">
        <v>23</v>
      </c>
      <c r="J1360" s="3">
        <v>61.698633999999998</v>
      </c>
      <c r="K1360" s="3">
        <v>10216.15</v>
      </c>
      <c r="L1360" s="3">
        <v>13224.505999999999</v>
      </c>
      <c r="M1360" s="3">
        <v>10216.15</v>
      </c>
      <c r="N1360" s="3">
        <v>10216.15</v>
      </c>
      <c r="O1360" s="4">
        <v>0</v>
      </c>
      <c r="P1360" s="4">
        <v>29.447099999999999</v>
      </c>
      <c r="Q1360" s="4">
        <v>0</v>
      </c>
      <c r="R1360" s="5">
        <v>5.11E-2</v>
      </c>
      <c r="S1360">
        <v>24</v>
      </c>
      <c r="T1360" t="b">
        <v>0</v>
      </c>
      <c r="U1360">
        <v>9</v>
      </c>
      <c r="V1360" s="4">
        <v>98.08</v>
      </c>
    </row>
    <row r="1361" spans="1:22" x14ac:dyDescent="0.35">
      <c r="A1361" t="s">
        <v>28</v>
      </c>
      <c r="B1361">
        <v>1</v>
      </c>
      <c r="C1361">
        <v>5</v>
      </c>
      <c r="D1361">
        <v>2</v>
      </c>
      <c r="E1361" t="s">
        <v>29</v>
      </c>
      <c r="F1361">
        <v>200</v>
      </c>
      <c r="G1361">
        <v>3</v>
      </c>
      <c r="H1361">
        <v>16</v>
      </c>
      <c r="I1361" t="s">
        <v>23</v>
      </c>
      <c r="J1361" s="3">
        <v>41.455967999999999</v>
      </c>
      <c r="K1361" s="3">
        <v>12206.07</v>
      </c>
      <c r="L1361" s="3">
        <v>14895.153</v>
      </c>
      <c r="M1361" s="3">
        <v>10216.15</v>
      </c>
      <c r="N1361" s="3">
        <v>10216.15</v>
      </c>
      <c r="O1361" s="4">
        <v>19.478200000000001</v>
      </c>
      <c r="P1361" s="4">
        <v>45.8001</v>
      </c>
      <c r="Q1361" s="4">
        <v>0</v>
      </c>
      <c r="R1361" s="5">
        <v>0.18659999999999999</v>
      </c>
      <c r="S1361">
        <v>24</v>
      </c>
      <c r="T1361" t="b">
        <v>0</v>
      </c>
      <c r="U1361">
        <v>20</v>
      </c>
      <c r="V1361" s="4">
        <v>296.39999999999998</v>
      </c>
    </row>
    <row r="1362" spans="1:22" x14ac:dyDescent="0.35">
      <c r="A1362" t="s">
        <v>28</v>
      </c>
      <c r="B1362">
        <v>1</v>
      </c>
      <c r="C1362">
        <v>5</v>
      </c>
      <c r="D1362">
        <v>5</v>
      </c>
      <c r="E1362" t="s">
        <v>29</v>
      </c>
      <c r="F1362">
        <v>50</v>
      </c>
      <c r="G1362">
        <v>1</v>
      </c>
      <c r="H1362">
        <v>16</v>
      </c>
      <c r="I1362" t="s">
        <v>23</v>
      </c>
      <c r="J1362" s="3">
        <v>356.24241999999998</v>
      </c>
      <c r="K1362" s="3">
        <v>10216.15</v>
      </c>
      <c r="L1362" s="3">
        <v>12905.233</v>
      </c>
      <c r="M1362" s="3">
        <v>10216.15</v>
      </c>
      <c r="N1362" s="3">
        <v>10216.15</v>
      </c>
      <c r="O1362" s="4">
        <v>0</v>
      </c>
      <c r="P1362" s="4">
        <v>26.321899999999999</v>
      </c>
      <c r="Q1362" s="4">
        <v>0</v>
      </c>
      <c r="R1362" s="5">
        <v>4.7000000000000002E-3</v>
      </c>
      <c r="S1362">
        <v>22</v>
      </c>
      <c r="T1362" t="b">
        <v>0</v>
      </c>
      <c r="U1362">
        <v>10</v>
      </c>
      <c r="V1362" s="4">
        <v>33.75</v>
      </c>
    </row>
    <row r="1363" spans="1:22" x14ac:dyDescent="0.35">
      <c r="A1363" t="s">
        <v>28</v>
      </c>
      <c r="B1363">
        <v>1</v>
      </c>
      <c r="C1363">
        <v>5</v>
      </c>
      <c r="D1363">
        <v>5</v>
      </c>
      <c r="E1363" t="s">
        <v>29</v>
      </c>
      <c r="F1363">
        <v>50</v>
      </c>
      <c r="G1363">
        <v>3</v>
      </c>
      <c r="H1363">
        <v>16</v>
      </c>
      <c r="I1363" t="s">
        <v>23</v>
      </c>
      <c r="J1363" s="3">
        <v>263.16664100000003</v>
      </c>
      <c r="K1363" s="3">
        <v>11886.797</v>
      </c>
      <c r="L1363" s="3">
        <v>13224.505999999999</v>
      </c>
      <c r="M1363" s="3">
        <v>11886.797</v>
      </c>
      <c r="N1363" s="3">
        <v>10216.15</v>
      </c>
      <c r="O1363" s="4">
        <v>16.353000000000002</v>
      </c>
      <c r="P1363" s="4">
        <v>29.447099999999999</v>
      </c>
      <c r="Q1363" s="4">
        <v>16.353000000000002</v>
      </c>
      <c r="R1363" s="5">
        <v>4.0000000000000002E-4</v>
      </c>
      <c r="S1363">
        <v>4</v>
      </c>
      <c r="T1363" t="b">
        <v>0</v>
      </c>
      <c r="U1363">
        <v>3</v>
      </c>
      <c r="V1363" s="4">
        <v>100.33</v>
      </c>
    </row>
    <row r="1364" spans="1:22" x14ac:dyDescent="0.35">
      <c r="A1364" t="s">
        <v>28</v>
      </c>
      <c r="B1364">
        <v>1</v>
      </c>
      <c r="C1364">
        <v>5</v>
      </c>
      <c r="D1364">
        <v>5</v>
      </c>
      <c r="E1364" t="s">
        <v>29</v>
      </c>
      <c r="F1364">
        <v>200</v>
      </c>
      <c r="G1364">
        <v>1</v>
      </c>
      <c r="H1364">
        <v>16</v>
      </c>
      <c r="I1364" t="s">
        <v>23</v>
      </c>
      <c r="J1364" s="3">
        <v>315.99841400000003</v>
      </c>
      <c r="K1364" s="3">
        <v>12206.07</v>
      </c>
      <c r="L1364" s="3">
        <v>12937.806</v>
      </c>
      <c r="M1364" s="3">
        <v>12206.07</v>
      </c>
      <c r="N1364" s="3">
        <v>10216.15</v>
      </c>
      <c r="O1364" s="4">
        <v>19.478200000000001</v>
      </c>
      <c r="P1364" s="4">
        <v>26.640699999999999</v>
      </c>
      <c r="Q1364" s="4">
        <v>19.478200000000001</v>
      </c>
      <c r="R1364" s="5">
        <v>4.0000000000000002E-4</v>
      </c>
      <c r="S1364">
        <v>4</v>
      </c>
      <c r="T1364" t="b">
        <v>0</v>
      </c>
      <c r="U1364">
        <v>3</v>
      </c>
      <c r="V1364" s="4">
        <v>99.87</v>
      </c>
    </row>
    <row r="1365" spans="1:22" x14ac:dyDescent="0.35">
      <c r="A1365" t="s">
        <v>28</v>
      </c>
      <c r="B1365">
        <v>1</v>
      </c>
      <c r="C1365">
        <v>5</v>
      </c>
      <c r="D1365">
        <v>5</v>
      </c>
      <c r="E1365" t="s">
        <v>29</v>
      </c>
      <c r="F1365">
        <v>200</v>
      </c>
      <c r="G1365">
        <v>3</v>
      </c>
      <c r="H1365">
        <v>16</v>
      </c>
      <c r="I1365" t="s">
        <v>23</v>
      </c>
      <c r="J1365" s="3">
        <v>107.930678</v>
      </c>
      <c r="K1365" s="3">
        <v>10216.15</v>
      </c>
      <c r="L1365" s="3">
        <v>14895.153</v>
      </c>
      <c r="M1365" s="3">
        <v>10216.15</v>
      </c>
      <c r="N1365" s="3">
        <v>10216.15</v>
      </c>
      <c r="O1365" s="4">
        <v>0</v>
      </c>
      <c r="P1365" s="4">
        <v>45.8001</v>
      </c>
      <c r="Q1365" s="4">
        <v>0</v>
      </c>
      <c r="R1365" s="5">
        <v>7.4999999999999997E-3</v>
      </c>
      <c r="S1365">
        <v>24</v>
      </c>
      <c r="T1365" t="b">
        <v>0</v>
      </c>
      <c r="U1365">
        <v>5</v>
      </c>
      <c r="V1365" s="4">
        <v>294.05</v>
      </c>
    </row>
    <row r="1366" spans="1:22" x14ac:dyDescent="0.35">
      <c r="A1366" t="s">
        <v>28</v>
      </c>
      <c r="B1366">
        <v>1</v>
      </c>
      <c r="C1366">
        <v>5</v>
      </c>
      <c r="D1366">
        <v>10</v>
      </c>
      <c r="E1366" t="s">
        <v>29</v>
      </c>
      <c r="F1366">
        <v>50</v>
      </c>
      <c r="G1366">
        <v>1</v>
      </c>
      <c r="H1366">
        <v>16</v>
      </c>
      <c r="I1366" t="s">
        <v>23</v>
      </c>
      <c r="J1366" s="3">
        <v>642.44255499999997</v>
      </c>
      <c r="K1366" s="3">
        <v>10216.15</v>
      </c>
      <c r="L1366" s="3">
        <v>10216.15</v>
      </c>
      <c r="M1366" s="3">
        <v>10216.15</v>
      </c>
      <c r="N1366" s="3">
        <v>10216.15</v>
      </c>
      <c r="O1366" s="4">
        <v>0</v>
      </c>
      <c r="P1366" s="4">
        <v>0</v>
      </c>
      <c r="Q1366" s="4">
        <v>0</v>
      </c>
      <c r="R1366" s="5">
        <v>2.5000000000000001E-3</v>
      </c>
      <c r="S1366">
        <v>16</v>
      </c>
      <c r="T1366" t="b">
        <v>0</v>
      </c>
      <c r="U1366">
        <v>1</v>
      </c>
      <c r="V1366" s="4">
        <v>33.58</v>
      </c>
    </row>
    <row r="1367" spans="1:22" x14ac:dyDescent="0.35">
      <c r="A1367" t="s">
        <v>28</v>
      </c>
      <c r="B1367">
        <v>1</v>
      </c>
      <c r="C1367">
        <v>5</v>
      </c>
      <c r="D1367">
        <v>10</v>
      </c>
      <c r="E1367" t="s">
        <v>29</v>
      </c>
      <c r="F1367">
        <v>50</v>
      </c>
      <c r="G1367">
        <v>3</v>
      </c>
      <c r="H1367">
        <v>16</v>
      </c>
      <c r="I1367" t="s">
        <v>23</v>
      </c>
      <c r="J1367" s="3">
        <v>503.25148100000001</v>
      </c>
      <c r="K1367" s="3">
        <v>11816.173000000001</v>
      </c>
      <c r="L1367" s="3">
        <v>14895.153</v>
      </c>
      <c r="M1367" s="3">
        <v>11816.173000000001</v>
      </c>
      <c r="N1367" s="3">
        <v>10216.15</v>
      </c>
      <c r="O1367" s="4">
        <v>15.6617</v>
      </c>
      <c r="P1367" s="4">
        <v>45.8001</v>
      </c>
      <c r="Q1367" s="4">
        <v>15.6617</v>
      </c>
      <c r="R1367" s="5">
        <v>1.9E-3</v>
      </c>
      <c r="S1367">
        <v>14</v>
      </c>
      <c r="T1367" t="b">
        <v>0</v>
      </c>
      <c r="U1367">
        <v>3</v>
      </c>
      <c r="V1367" s="4">
        <v>100.1</v>
      </c>
    </row>
    <row r="1368" spans="1:22" x14ac:dyDescent="0.35">
      <c r="A1368" t="s">
        <v>28</v>
      </c>
      <c r="B1368">
        <v>1</v>
      </c>
      <c r="C1368">
        <v>5</v>
      </c>
      <c r="D1368">
        <v>10</v>
      </c>
      <c r="E1368" t="s">
        <v>29</v>
      </c>
      <c r="F1368">
        <v>200</v>
      </c>
      <c r="G1368">
        <v>1</v>
      </c>
      <c r="H1368">
        <v>16</v>
      </c>
      <c r="I1368" t="s">
        <v>23</v>
      </c>
      <c r="J1368" s="3">
        <v>596.01746300000002</v>
      </c>
      <c r="K1368" s="3">
        <v>11816.173000000001</v>
      </c>
      <c r="L1368" s="3">
        <v>12905.233</v>
      </c>
      <c r="M1368" s="3">
        <v>10216.15</v>
      </c>
      <c r="N1368" s="3">
        <v>10216.15</v>
      </c>
      <c r="O1368" s="4">
        <v>15.6617</v>
      </c>
      <c r="P1368" s="4">
        <v>26.321899999999999</v>
      </c>
      <c r="Q1368" s="4">
        <v>0</v>
      </c>
      <c r="R1368" s="5">
        <v>8.3999999999999995E-3</v>
      </c>
      <c r="S1368">
        <v>23</v>
      </c>
      <c r="T1368" t="b">
        <v>0</v>
      </c>
      <c r="U1368">
        <v>21</v>
      </c>
      <c r="V1368" s="4">
        <v>99.29</v>
      </c>
    </row>
    <row r="1369" spans="1:22" x14ac:dyDescent="0.35">
      <c r="A1369" t="s">
        <v>28</v>
      </c>
      <c r="B1369">
        <v>1</v>
      </c>
      <c r="C1369">
        <v>5</v>
      </c>
      <c r="D1369">
        <v>10</v>
      </c>
      <c r="E1369" t="s">
        <v>29</v>
      </c>
      <c r="F1369">
        <v>200</v>
      </c>
      <c r="G1369">
        <v>3</v>
      </c>
      <c r="H1369">
        <v>16</v>
      </c>
      <c r="I1369" t="s">
        <v>23</v>
      </c>
      <c r="J1369" s="3">
        <v>120.095311</v>
      </c>
      <c r="K1369" s="3">
        <v>12173.496999999999</v>
      </c>
      <c r="L1369" s="3">
        <v>14895.153</v>
      </c>
      <c r="M1369" s="3">
        <v>10216.15</v>
      </c>
      <c r="N1369" s="3">
        <v>10216.15</v>
      </c>
      <c r="O1369" s="4">
        <v>19.159300000000002</v>
      </c>
      <c r="P1369" s="4">
        <v>45.8001</v>
      </c>
      <c r="Q1369" s="4">
        <v>0</v>
      </c>
      <c r="R1369" s="5">
        <v>0.1366</v>
      </c>
      <c r="S1369">
        <v>24</v>
      </c>
      <c r="T1369" t="b">
        <v>0</v>
      </c>
      <c r="U1369">
        <v>18</v>
      </c>
      <c r="V1369" s="4">
        <v>288</v>
      </c>
    </row>
    <row r="1370" spans="1:22" x14ac:dyDescent="0.35">
      <c r="A1370" t="s">
        <v>28</v>
      </c>
      <c r="B1370">
        <v>2</v>
      </c>
      <c r="C1370">
        <v>2</v>
      </c>
      <c r="D1370">
        <v>2</v>
      </c>
      <c r="E1370" t="s">
        <v>29</v>
      </c>
      <c r="F1370">
        <v>50</v>
      </c>
      <c r="G1370">
        <v>1</v>
      </c>
      <c r="H1370">
        <v>20</v>
      </c>
      <c r="I1370" t="s">
        <v>26</v>
      </c>
      <c r="J1370" s="3">
        <v>150.81206700000001</v>
      </c>
      <c r="K1370" s="3">
        <v>16691.972000000002</v>
      </c>
      <c r="L1370" s="3">
        <v>16691.972000000002</v>
      </c>
      <c r="M1370" s="3">
        <v>16691.972000000002</v>
      </c>
      <c r="N1370" s="3">
        <v>13612.992</v>
      </c>
      <c r="O1370" s="4">
        <v>22.617999999999999</v>
      </c>
      <c r="P1370" s="4">
        <v>22.617999999999999</v>
      </c>
      <c r="Q1370" s="4">
        <v>22.617999999999999</v>
      </c>
      <c r="R1370" s="5">
        <v>1E-4</v>
      </c>
      <c r="S1370">
        <v>1</v>
      </c>
      <c r="T1370" t="b">
        <v>0</v>
      </c>
      <c r="U1370">
        <v>1</v>
      </c>
      <c r="V1370" s="4">
        <v>37.1</v>
      </c>
    </row>
    <row r="1371" spans="1:22" x14ac:dyDescent="0.35">
      <c r="A1371" t="s">
        <v>28</v>
      </c>
      <c r="B1371">
        <v>2</v>
      </c>
      <c r="C1371">
        <v>2</v>
      </c>
      <c r="D1371">
        <v>2</v>
      </c>
      <c r="E1371" t="s">
        <v>29</v>
      </c>
      <c r="F1371">
        <v>50</v>
      </c>
      <c r="G1371">
        <v>3</v>
      </c>
      <c r="H1371">
        <v>20</v>
      </c>
      <c r="I1371" t="s">
        <v>26</v>
      </c>
      <c r="J1371" s="3">
        <v>33.947374000000003</v>
      </c>
      <c r="K1371" s="3">
        <v>15021.325000000001</v>
      </c>
      <c r="L1371" s="3">
        <v>17742.981</v>
      </c>
      <c r="M1371" s="3">
        <v>13612.992</v>
      </c>
      <c r="N1371" s="3">
        <v>13612.992</v>
      </c>
      <c r="O1371" s="4">
        <v>10.345499999999999</v>
      </c>
      <c r="P1371" s="4">
        <v>30.3386</v>
      </c>
      <c r="Q1371" s="4">
        <v>0</v>
      </c>
      <c r="R1371" s="5">
        <v>3.9100000000000003E-2</v>
      </c>
      <c r="S1371">
        <v>36</v>
      </c>
      <c r="T1371" t="b">
        <v>0</v>
      </c>
      <c r="U1371">
        <v>12</v>
      </c>
      <c r="V1371" s="4">
        <v>109.41</v>
      </c>
    </row>
    <row r="1372" spans="1:22" x14ac:dyDescent="0.35">
      <c r="A1372" t="s">
        <v>28</v>
      </c>
      <c r="B1372">
        <v>2</v>
      </c>
      <c r="C1372">
        <v>2</v>
      </c>
      <c r="D1372">
        <v>2</v>
      </c>
      <c r="E1372" t="s">
        <v>29</v>
      </c>
      <c r="F1372">
        <v>200</v>
      </c>
      <c r="G1372">
        <v>1</v>
      </c>
      <c r="H1372">
        <v>20</v>
      </c>
      <c r="I1372" t="s">
        <v>26</v>
      </c>
      <c r="J1372" s="3">
        <v>149.98943700000001</v>
      </c>
      <c r="K1372" s="3" t="s">
        <v>24</v>
      </c>
      <c r="L1372" s="3" t="s">
        <v>24</v>
      </c>
      <c r="M1372" s="3" t="s">
        <v>24</v>
      </c>
      <c r="N1372" s="3">
        <v>13612.992</v>
      </c>
      <c r="O1372" s="4"/>
      <c r="P1372" s="4"/>
      <c r="Q1372" s="4"/>
      <c r="R1372" s="5">
        <v>0</v>
      </c>
      <c r="S1372">
        <v>0</v>
      </c>
      <c r="T1372" t="b">
        <v>1</v>
      </c>
      <c r="U1372">
        <v>-1</v>
      </c>
      <c r="V1372" s="4">
        <v>110.15</v>
      </c>
    </row>
    <row r="1373" spans="1:22" x14ac:dyDescent="0.35">
      <c r="A1373" t="s">
        <v>28</v>
      </c>
      <c r="B1373">
        <v>2</v>
      </c>
      <c r="C1373">
        <v>2</v>
      </c>
      <c r="D1373">
        <v>2</v>
      </c>
      <c r="E1373" t="s">
        <v>29</v>
      </c>
      <c r="F1373">
        <v>200</v>
      </c>
      <c r="G1373">
        <v>3</v>
      </c>
      <c r="H1373">
        <v>20</v>
      </c>
      <c r="I1373" t="s">
        <v>26</v>
      </c>
      <c r="J1373" s="3">
        <v>47.893461000000002</v>
      </c>
      <c r="K1373" s="3">
        <v>13932.264999999999</v>
      </c>
      <c r="L1373" s="3">
        <v>16072.334000000001</v>
      </c>
      <c r="M1373" s="3">
        <v>13612.992</v>
      </c>
      <c r="N1373" s="3">
        <v>13612.992</v>
      </c>
      <c r="O1373" s="4">
        <v>2.3454000000000002</v>
      </c>
      <c r="P1373" s="4">
        <v>18.066099999999999</v>
      </c>
      <c r="Q1373" s="4">
        <v>0</v>
      </c>
      <c r="R1373" s="5">
        <v>7.0000000000000001E-3</v>
      </c>
      <c r="S1373">
        <v>33</v>
      </c>
      <c r="T1373" t="b">
        <v>0</v>
      </c>
      <c r="U1373">
        <v>25</v>
      </c>
      <c r="V1373" s="4">
        <v>325.42</v>
      </c>
    </row>
    <row r="1374" spans="1:22" x14ac:dyDescent="0.35">
      <c r="A1374" t="s">
        <v>28</v>
      </c>
      <c r="B1374">
        <v>2</v>
      </c>
      <c r="C1374">
        <v>2</v>
      </c>
      <c r="D1374">
        <v>5</v>
      </c>
      <c r="E1374" t="s">
        <v>29</v>
      </c>
      <c r="F1374">
        <v>50</v>
      </c>
      <c r="G1374">
        <v>1</v>
      </c>
      <c r="H1374">
        <v>20</v>
      </c>
      <c r="I1374" t="s">
        <v>26</v>
      </c>
      <c r="J1374" s="3">
        <v>515.72726799999998</v>
      </c>
      <c r="K1374" s="3">
        <v>16072.334000000001</v>
      </c>
      <c r="L1374" s="3">
        <v>16072.334000000001</v>
      </c>
      <c r="M1374" s="3">
        <v>16072.334000000001</v>
      </c>
      <c r="N1374" s="3">
        <v>13612.992</v>
      </c>
      <c r="O1374" s="4">
        <v>18.066099999999999</v>
      </c>
      <c r="P1374" s="4">
        <v>18.066099999999999</v>
      </c>
      <c r="Q1374" s="4">
        <v>18.066099999999999</v>
      </c>
      <c r="R1374" s="5">
        <v>1E-4</v>
      </c>
      <c r="S1374">
        <v>1</v>
      </c>
      <c r="T1374" t="b">
        <v>0</v>
      </c>
      <c r="U1374">
        <v>1</v>
      </c>
      <c r="V1374" s="4">
        <v>41.38</v>
      </c>
    </row>
    <row r="1375" spans="1:22" x14ac:dyDescent="0.35">
      <c r="A1375" t="s">
        <v>28</v>
      </c>
      <c r="B1375">
        <v>2</v>
      </c>
      <c r="C1375">
        <v>2</v>
      </c>
      <c r="D1375">
        <v>5</v>
      </c>
      <c r="E1375" t="s">
        <v>29</v>
      </c>
      <c r="F1375">
        <v>50</v>
      </c>
      <c r="G1375">
        <v>3</v>
      </c>
      <c r="H1375">
        <v>20</v>
      </c>
      <c r="I1375" t="s">
        <v>26</v>
      </c>
      <c r="J1375" s="3">
        <v>113.724761</v>
      </c>
      <c r="K1375" s="3">
        <v>13932.264999999999</v>
      </c>
      <c r="L1375" s="3">
        <v>16072.334000000001</v>
      </c>
      <c r="M1375" s="3">
        <v>13612.992</v>
      </c>
      <c r="N1375" s="3">
        <v>13612.992</v>
      </c>
      <c r="O1375" s="4">
        <v>2.3454000000000002</v>
      </c>
      <c r="P1375" s="4">
        <v>18.066099999999999</v>
      </c>
      <c r="Q1375" s="4">
        <v>0</v>
      </c>
      <c r="R1375" s="5">
        <v>6.6E-3</v>
      </c>
      <c r="S1375">
        <v>29</v>
      </c>
      <c r="T1375" t="b">
        <v>0</v>
      </c>
      <c r="U1375">
        <v>20</v>
      </c>
      <c r="V1375" s="4">
        <v>129.61000000000001</v>
      </c>
    </row>
    <row r="1376" spans="1:22" x14ac:dyDescent="0.35">
      <c r="A1376" t="s">
        <v>28</v>
      </c>
      <c r="B1376">
        <v>2</v>
      </c>
      <c r="C1376">
        <v>2</v>
      </c>
      <c r="D1376">
        <v>5</v>
      </c>
      <c r="E1376" t="s">
        <v>29</v>
      </c>
      <c r="F1376">
        <v>200</v>
      </c>
      <c r="G1376">
        <v>1</v>
      </c>
      <c r="H1376">
        <v>20</v>
      </c>
      <c r="I1376" t="s">
        <v>26</v>
      </c>
      <c r="J1376" s="3">
        <v>361.497883</v>
      </c>
      <c r="K1376" s="3">
        <v>16621.348000000002</v>
      </c>
      <c r="L1376" s="3">
        <v>16621.348000000002</v>
      </c>
      <c r="M1376" s="3">
        <v>16621.348000000002</v>
      </c>
      <c r="N1376" s="3">
        <v>13612.992</v>
      </c>
      <c r="O1376" s="4">
        <v>22.0992</v>
      </c>
      <c r="P1376" s="4">
        <v>22.0992</v>
      </c>
      <c r="Q1376" s="4">
        <v>22.0992</v>
      </c>
      <c r="R1376" s="5">
        <v>1E-4</v>
      </c>
      <c r="S1376">
        <v>1</v>
      </c>
      <c r="T1376" t="b">
        <v>0</v>
      </c>
      <c r="U1376">
        <v>1</v>
      </c>
      <c r="V1376" s="4">
        <v>132.6</v>
      </c>
    </row>
    <row r="1377" spans="1:22" x14ac:dyDescent="0.35">
      <c r="A1377" t="s">
        <v>28</v>
      </c>
      <c r="B1377">
        <v>2</v>
      </c>
      <c r="C1377">
        <v>2</v>
      </c>
      <c r="D1377">
        <v>5</v>
      </c>
      <c r="E1377" t="s">
        <v>29</v>
      </c>
      <c r="F1377">
        <v>200</v>
      </c>
      <c r="G1377">
        <v>3</v>
      </c>
      <c r="H1377">
        <v>20</v>
      </c>
      <c r="I1377" t="s">
        <v>26</v>
      </c>
      <c r="J1377" s="3">
        <v>123.22852399999999</v>
      </c>
      <c r="K1377" s="3">
        <v>13612.992</v>
      </c>
      <c r="L1377" s="3">
        <v>15021.325000000001</v>
      </c>
      <c r="M1377" s="3">
        <v>13612.992</v>
      </c>
      <c r="N1377" s="3">
        <v>13612.992</v>
      </c>
      <c r="O1377" s="4">
        <v>0</v>
      </c>
      <c r="P1377" s="4">
        <v>10.345499999999999</v>
      </c>
      <c r="Q1377" s="4">
        <v>0</v>
      </c>
      <c r="R1377" s="5">
        <v>4.4999999999999997E-3</v>
      </c>
      <c r="S1377">
        <v>24</v>
      </c>
      <c r="T1377" t="b">
        <v>0</v>
      </c>
      <c r="U1377">
        <v>6</v>
      </c>
      <c r="V1377" s="4">
        <v>342.05</v>
      </c>
    </row>
    <row r="1378" spans="1:22" x14ac:dyDescent="0.35">
      <c r="A1378" t="s">
        <v>28</v>
      </c>
      <c r="B1378">
        <v>2</v>
      </c>
      <c r="C1378">
        <v>2</v>
      </c>
      <c r="D1378">
        <v>10</v>
      </c>
      <c r="E1378" t="s">
        <v>29</v>
      </c>
      <c r="F1378">
        <v>50</v>
      </c>
      <c r="G1378">
        <v>1</v>
      </c>
      <c r="H1378">
        <v>20</v>
      </c>
      <c r="I1378" t="s">
        <v>26</v>
      </c>
      <c r="J1378" s="3">
        <v>720.08218699999998</v>
      </c>
      <c r="K1378" s="3">
        <v>16621.348000000002</v>
      </c>
      <c r="L1378" s="3">
        <v>16621.348000000002</v>
      </c>
      <c r="M1378" s="3">
        <v>16621.348000000002</v>
      </c>
      <c r="N1378" s="3">
        <v>13612.992</v>
      </c>
      <c r="O1378" s="4">
        <v>22.0992</v>
      </c>
      <c r="P1378" s="4">
        <v>22.0992</v>
      </c>
      <c r="Q1378" s="4">
        <v>22.0992</v>
      </c>
      <c r="R1378" s="5">
        <v>1E-4</v>
      </c>
      <c r="S1378">
        <v>1</v>
      </c>
      <c r="T1378" t="b">
        <v>0</v>
      </c>
      <c r="U1378">
        <v>1</v>
      </c>
      <c r="V1378" s="4">
        <v>37.39</v>
      </c>
    </row>
    <row r="1379" spans="1:22" x14ac:dyDescent="0.35">
      <c r="A1379" t="s">
        <v>28</v>
      </c>
      <c r="B1379">
        <v>2</v>
      </c>
      <c r="C1379">
        <v>2</v>
      </c>
      <c r="D1379">
        <v>10</v>
      </c>
      <c r="E1379" t="s">
        <v>29</v>
      </c>
      <c r="F1379">
        <v>50</v>
      </c>
      <c r="G1379">
        <v>3</v>
      </c>
      <c r="H1379">
        <v>20</v>
      </c>
      <c r="I1379" t="s">
        <v>26</v>
      </c>
      <c r="J1379" s="3">
        <v>201.88221300000001</v>
      </c>
      <c r="K1379" s="3">
        <v>14481.279</v>
      </c>
      <c r="L1379" s="3">
        <v>16621.348000000002</v>
      </c>
      <c r="M1379" s="3">
        <v>13612.992</v>
      </c>
      <c r="N1379" s="3">
        <v>13612.992</v>
      </c>
      <c r="O1379" s="4">
        <v>6.3784000000000001</v>
      </c>
      <c r="P1379" s="4">
        <v>22.0992</v>
      </c>
      <c r="Q1379" s="4">
        <v>0</v>
      </c>
      <c r="R1379" s="5">
        <v>9.7000000000000003E-3</v>
      </c>
      <c r="S1379">
        <v>34</v>
      </c>
      <c r="T1379" t="b">
        <v>0</v>
      </c>
      <c r="U1379">
        <v>18</v>
      </c>
      <c r="V1379" s="4">
        <v>109.5</v>
      </c>
    </row>
    <row r="1380" spans="1:22" x14ac:dyDescent="0.35">
      <c r="A1380" t="s">
        <v>28</v>
      </c>
      <c r="B1380">
        <v>2</v>
      </c>
      <c r="C1380">
        <v>2</v>
      </c>
      <c r="D1380">
        <v>10</v>
      </c>
      <c r="E1380" t="s">
        <v>29</v>
      </c>
      <c r="F1380">
        <v>200</v>
      </c>
      <c r="G1380">
        <v>1</v>
      </c>
      <c r="H1380">
        <v>20</v>
      </c>
      <c r="I1380" t="s">
        <v>26</v>
      </c>
      <c r="J1380" s="3">
        <v>711.94089199999996</v>
      </c>
      <c r="K1380" s="3" t="s">
        <v>24</v>
      </c>
      <c r="L1380" s="3" t="s">
        <v>24</v>
      </c>
      <c r="M1380" s="3" t="s">
        <v>24</v>
      </c>
      <c r="N1380" s="3">
        <v>13612.992</v>
      </c>
      <c r="O1380" s="4"/>
      <c r="P1380" s="4"/>
      <c r="Q1380" s="4"/>
      <c r="R1380" s="5">
        <v>0</v>
      </c>
      <c r="S1380">
        <v>0</v>
      </c>
      <c r="T1380" t="b">
        <v>1</v>
      </c>
      <c r="U1380">
        <v>-1</v>
      </c>
      <c r="V1380" s="4">
        <v>110.42</v>
      </c>
    </row>
    <row r="1381" spans="1:22" x14ac:dyDescent="0.35">
      <c r="A1381" t="s">
        <v>28</v>
      </c>
      <c r="B1381">
        <v>2</v>
      </c>
      <c r="C1381">
        <v>2</v>
      </c>
      <c r="D1381">
        <v>10</v>
      </c>
      <c r="E1381" t="s">
        <v>29</v>
      </c>
      <c r="F1381">
        <v>200</v>
      </c>
      <c r="G1381">
        <v>3</v>
      </c>
      <c r="H1381">
        <v>20</v>
      </c>
      <c r="I1381" t="s">
        <v>26</v>
      </c>
      <c r="J1381" s="3">
        <v>221.348365</v>
      </c>
      <c r="K1381" s="3">
        <v>13932.264999999999</v>
      </c>
      <c r="L1381" s="3">
        <v>17011.244999999999</v>
      </c>
      <c r="M1381" s="3">
        <v>13612.992</v>
      </c>
      <c r="N1381" s="3">
        <v>13612.992</v>
      </c>
      <c r="O1381" s="4">
        <v>2.3454000000000002</v>
      </c>
      <c r="P1381" s="4">
        <v>24.9633</v>
      </c>
      <c r="Q1381" s="4">
        <v>0</v>
      </c>
      <c r="R1381" s="5">
        <v>6.1000000000000004E-3</v>
      </c>
      <c r="S1381">
        <v>29</v>
      </c>
      <c r="T1381" t="b">
        <v>0</v>
      </c>
      <c r="U1381">
        <v>16</v>
      </c>
      <c r="V1381" s="4">
        <v>325.41000000000003</v>
      </c>
    </row>
    <row r="1382" spans="1:22" x14ac:dyDescent="0.35">
      <c r="A1382" t="s">
        <v>28</v>
      </c>
      <c r="B1382">
        <v>2</v>
      </c>
      <c r="C1382">
        <v>5</v>
      </c>
      <c r="D1382">
        <v>2</v>
      </c>
      <c r="E1382" t="s">
        <v>29</v>
      </c>
      <c r="F1382">
        <v>50</v>
      </c>
      <c r="G1382">
        <v>1</v>
      </c>
      <c r="H1382">
        <v>20</v>
      </c>
      <c r="I1382" t="s">
        <v>26</v>
      </c>
      <c r="J1382" s="3">
        <v>149.92088799999999</v>
      </c>
      <c r="K1382" s="3" t="s">
        <v>24</v>
      </c>
      <c r="L1382" s="3" t="s">
        <v>24</v>
      </c>
      <c r="M1382" s="3" t="s">
        <v>24</v>
      </c>
      <c r="N1382" s="3">
        <v>13612.992</v>
      </c>
      <c r="O1382" s="4"/>
      <c r="P1382" s="4"/>
      <c r="Q1382" s="4"/>
      <c r="R1382" s="5">
        <v>0</v>
      </c>
      <c r="S1382">
        <v>0</v>
      </c>
      <c r="T1382" t="b">
        <v>1</v>
      </c>
      <c r="U1382">
        <v>-1</v>
      </c>
      <c r="V1382" s="4">
        <v>62.57</v>
      </c>
    </row>
    <row r="1383" spans="1:22" x14ac:dyDescent="0.35">
      <c r="A1383" t="s">
        <v>28</v>
      </c>
      <c r="B1383">
        <v>2</v>
      </c>
      <c r="C1383">
        <v>5</v>
      </c>
      <c r="D1383">
        <v>2</v>
      </c>
      <c r="E1383" t="s">
        <v>29</v>
      </c>
      <c r="F1383">
        <v>50</v>
      </c>
      <c r="G1383">
        <v>3</v>
      </c>
      <c r="H1383">
        <v>20</v>
      </c>
      <c r="I1383" t="s">
        <v>26</v>
      </c>
      <c r="J1383" s="3">
        <v>132.435507</v>
      </c>
      <c r="K1383" s="3">
        <v>13932.264999999999</v>
      </c>
      <c r="L1383" s="3">
        <v>17011.244999999999</v>
      </c>
      <c r="M1383" s="3">
        <v>13932.264999999999</v>
      </c>
      <c r="N1383" s="3">
        <v>13612.992</v>
      </c>
      <c r="O1383" s="4">
        <v>2.3454000000000002</v>
      </c>
      <c r="P1383" s="4">
        <v>24.9633</v>
      </c>
      <c r="Q1383" s="4">
        <v>2.3454000000000002</v>
      </c>
      <c r="R1383" s="5">
        <v>8.0000000000000004E-4</v>
      </c>
      <c r="S1383">
        <v>7</v>
      </c>
      <c r="T1383" t="b">
        <v>0</v>
      </c>
      <c r="U1383">
        <v>5</v>
      </c>
      <c r="V1383" s="4">
        <v>184.82</v>
      </c>
    </row>
    <row r="1384" spans="1:22" x14ac:dyDescent="0.35">
      <c r="A1384" t="s">
        <v>28</v>
      </c>
      <c r="B1384">
        <v>2</v>
      </c>
      <c r="C1384">
        <v>5</v>
      </c>
      <c r="D1384">
        <v>2</v>
      </c>
      <c r="E1384" t="s">
        <v>29</v>
      </c>
      <c r="F1384">
        <v>200</v>
      </c>
      <c r="G1384">
        <v>1</v>
      </c>
      <c r="H1384">
        <v>20</v>
      </c>
      <c r="I1384" t="s">
        <v>26</v>
      </c>
      <c r="J1384" s="3">
        <v>155.17483899999999</v>
      </c>
      <c r="K1384" s="3">
        <v>13612.992</v>
      </c>
      <c r="L1384" s="3">
        <v>13612.992</v>
      </c>
      <c r="M1384" s="3">
        <v>13612.992</v>
      </c>
      <c r="N1384" s="3">
        <v>13612.992</v>
      </c>
      <c r="O1384" s="4">
        <v>0</v>
      </c>
      <c r="P1384" s="4">
        <v>0</v>
      </c>
      <c r="Q1384" s="4">
        <v>0</v>
      </c>
      <c r="R1384" s="5">
        <v>2.0000000000000001E-4</v>
      </c>
      <c r="S1384">
        <v>2</v>
      </c>
      <c r="T1384" t="b">
        <v>0</v>
      </c>
      <c r="U1384">
        <v>1</v>
      </c>
      <c r="V1384" s="4">
        <v>184.08</v>
      </c>
    </row>
    <row r="1385" spans="1:22" x14ac:dyDescent="0.35">
      <c r="A1385" t="s">
        <v>28</v>
      </c>
      <c r="B1385">
        <v>2</v>
      </c>
      <c r="C1385">
        <v>5</v>
      </c>
      <c r="D1385">
        <v>2</v>
      </c>
      <c r="E1385" t="s">
        <v>29</v>
      </c>
      <c r="F1385">
        <v>200</v>
      </c>
      <c r="G1385">
        <v>3</v>
      </c>
      <c r="H1385">
        <v>20</v>
      </c>
      <c r="I1385" t="s">
        <v>26</v>
      </c>
      <c r="J1385" s="3">
        <v>37.883989</v>
      </c>
      <c r="K1385" s="3">
        <v>15021.325000000001</v>
      </c>
      <c r="L1385" s="3">
        <v>17560.258999999998</v>
      </c>
      <c r="M1385" s="3">
        <v>13612.992</v>
      </c>
      <c r="N1385" s="3">
        <v>13612.992</v>
      </c>
      <c r="O1385" s="4">
        <v>10.345499999999999</v>
      </c>
      <c r="P1385" s="4">
        <v>28.996300000000002</v>
      </c>
      <c r="Q1385" s="4">
        <v>0</v>
      </c>
      <c r="R1385" s="5">
        <v>0.107</v>
      </c>
      <c r="S1385">
        <v>36</v>
      </c>
      <c r="T1385" t="b">
        <v>0</v>
      </c>
      <c r="U1385">
        <v>27</v>
      </c>
      <c r="V1385" s="4">
        <v>552.74</v>
      </c>
    </row>
    <row r="1386" spans="1:22" x14ac:dyDescent="0.35">
      <c r="A1386" t="s">
        <v>28</v>
      </c>
      <c r="B1386">
        <v>2</v>
      </c>
      <c r="C1386">
        <v>5</v>
      </c>
      <c r="D1386">
        <v>5</v>
      </c>
      <c r="E1386" t="s">
        <v>29</v>
      </c>
      <c r="F1386">
        <v>50</v>
      </c>
      <c r="G1386">
        <v>1</v>
      </c>
      <c r="H1386">
        <v>20</v>
      </c>
      <c r="I1386" t="s">
        <v>26</v>
      </c>
      <c r="J1386" s="3">
        <v>375.52639299999998</v>
      </c>
      <c r="K1386" s="3">
        <v>14481.279</v>
      </c>
      <c r="L1386" s="3">
        <v>15021.325000000001</v>
      </c>
      <c r="M1386" s="3">
        <v>14481.279</v>
      </c>
      <c r="N1386" s="3">
        <v>13612.992</v>
      </c>
      <c r="O1386" s="4">
        <v>6.3784000000000001</v>
      </c>
      <c r="P1386" s="4">
        <v>10.345499999999999</v>
      </c>
      <c r="Q1386" s="4">
        <v>6.3784000000000001</v>
      </c>
      <c r="R1386" s="5">
        <v>2.0000000000000001E-4</v>
      </c>
      <c r="S1386">
        <v>2</v>
      </c>
      <c r="T1386" t="b">
        <v>0</v>
      </c>
      <c r="U1386">
        <v>2</v>
      </c>
      <c r="V1386" s="4">
        <v>63.08</v>
      </c>
    </row>
    <row r="1387" spans="1:22" x14ac:dyDescent="0.35">
      <c r="A1387" t="s">
        <v>28</v>
      </c>
      <c r="B1387">
        <v>2</v>
      </c>
      <c r="C1387">
        <v>5</v>
      </c>
      <c r="D1387">
        <v>5</v>
      </c>
      <c r="E1387" t="s">
        <v>29</v>
      </c>
      <c r="F1387">
        <v>50</v>
      </c>
      <c r="G1387">
        <v>3</v>
      </c>
      <c r="H1387">
        <v>20</v>
      </c>
      <c r="I1387" t="s">
        <v>26</v>
      </c>
      <c r="J1387" s="3">
        <v>372.05332800000002</v>
      </c>
      <c r="K1387" s="3">
        <v>16621.348000000002</v>
      </c>
      <c r="L1387" s="3">
        <v>16621.348000000002</v>
      </c>
      <c r="M1387" s="3">
        <v>16621.348000000002</v>
      </c>
      <c r="N1387" s="3">
        <v>13612.992</v>
      </c>
      <c r="O1387" s="4">
        <v>22.0992</v>
      </c>
      <c r="P1387" s="4">
        <v>22.0992</v>
      </c>
      <c r="Q1387" s="4">
        <v>22.0992</v>
      </c>
      <c r="R1387" s="5">
        <v>1E-4</v>
      </c>
      <c r="S1387">
        <v>1</v>
      </c>
      <c r="T1387" t="b">
        <v>0</v>
      </c>
      <c r="U1387">
        <v>1</v>
      </c>
      <c r="V1387" s="4">
        <v>185.24</v>
      </c>
    </row>
    <row r="1388" spans="1:22" x14ac:dyDescent="0.35">
      <c r="A1388" t="s">
        <v>28</v>
      </c>
      <c r="B1388">
        <v>2</v>
      </c>
      <c r="C1388">
        <v>5</v>
      </c>
      <c r="D1388">
        <v>5</v>
      </c>
      <c r="E1388" t="s">
        <v>29</v>
      </c>
      <c r="F1388">
        <v>200</v>
      </c>
      <c r="G1388">
        <v>1</v>
      </c>
      <c r="H1388">
        <v>20</v>
      </c>
      <c r="I1388" t="s">
        <v>26</v>
      </c>
      <c r="J1388" s="3">
        <v>365.58446800000002</v>
      </c>
      <c r="K1388" s="3" t="s">
        <v>24</v>
      </c>
      <c r="L1388" s="3" t="s">
        <v>24</v>
      </c>
      <c r="M1388" s="3" t="s">
        <v>24</v>
      </c>
      <c r="N1388" s="3">
        <v>13612.992</v>
      </c>
      <c r="O1388" s="4"/>
      <c r="P1388" s="4"/>
      <c r="Q1388" s="4"/>
      <c r="R1388" s="5">
        <v>0</v>
      </c>
      <c r="S1388">
        <v>0</v>
      </c>
      <c r="T1388" t="b">
        <v>1</v>
      </c>
      <c r="U1388">
        <v>-1</v>
      </c>
      <c r="V1388" s="4">
        <v>184.7</v>
      </c>
    </row>
    <row r="1389" spans="1:22" x14ac:dyDescent="0.35">
      <c r="A1389" t="s">
        <v>28</v>
      </c>
      <c r="B1389">
        <v>2</v>
      </c>
      <c r="C1389">
        <v>5</v>
      </c>
      <c r="D1389">
        <v>5</v>
      </c>
      <c r="E1389" t="s">
        <v>29</v>
      </c>
      <c r="F1389">
        <v>200</v>
      </c>
      <c r="G1389">
        <v>3</v>
      </c>
      <c r="H1389">
        <v>20</v>
      </c>
      <c r="I1389" t="s">
        <v>26</v>
      </c>
      <c r="J1389" s="3">
        <v>87.908968000000002</v>
      </c>
      <c r="K1389" s="3">
        <v>13612.992</v>
      </c>
      <c r="L1389" s="3">
        <v>15753.061</v>
      </c>
      <c r="M1389" s="3">
        <v>13612.992</v>
      </c>
      <c r="N1389" s="3">
        <v>13612.992</v>
      </c>
      <c r="O1389" s="4">
        <v>0</v>
      </c>
      <c r="P1389" s="4">
        <v>15.720800000000001</v>
      </c>
      <c r="Q1389" s="4">
        <v>0</v>
      </c>
      <c r="R1389" s="5">
        <v>5.67E-2</v>
      </c>
      <c r="S1389">
        <v>36</v>
      </c>
      <c r="T1389" t="b">
        <v>0</v>
      </c>
      <c r="U1389">
        <v>3</v>
      </c>
      <c r="V1389" s="4">
        <v>551.65</v>
      </c>
    </row>
    <row r="1390" spans="1:22" x14ac:dyDescent="0.35">
      <c r="A1390" t="s">
        <v>28</v>
      </c>
      <c r="B1390">
        <v>2</v>
      </c>
      <c r="C1390">
        <v>5</v>
      </c>
      <c r="D1390">
        <v>10</v>
      </c>
      <c r="E1390" t="s">
        <v>29</v>
      </c>
      <c r="F1390">
        <v>50</v>
      </c>
      <c r="G1390">
        <v>1</v>
      </c>
      <c r="H1390">
        <v>20</v>
      </c>
      <c r="I1390" t="s">
        <v>26</v>
      </c>
      <c r="J1390" s="3">
        <v>749.03917000000001</v>
      </c>
      <c r="K1390" s="3">
        <v>13612.992</v>
      </c>
      <c r="L1390" s="3">
        <v>15602.912</v>
      </c>
      <c r="M1390" s="3">
        <v>13612.992</v>
      </c>
      <c r="N1390" s="3">
        <v>13612.992</v>
      </c>
      <c r="O1390" s="4">
        <v>0</v>
      </c>
      <c r="P1390" s="4">
        <v>14.617800000000001</v>
      </c>
      <c r="Q1390" s="4">
        <v>0</v>
      </c>
      <c r="R1390" s="5">
        <v>2.9999999999999997E-4</v>
      </c>
      <c r="S1390">
        <v>3</v>
      </c>
      <c r="T1390" t="b">
        <v>0</v>
      </c>
      <c r="U1390">
        <v>2</v>
      </c>
      <c r="V1390" s="4">
        <v>62.26</v>
      </c>
    </row>
    <row r="1391" spans="1:22" x14ac:dyDescent="0.35">
      <c r="A1391" t="s">
        <v>28</v>
      </c>
      <c r="B1391">
        <v>2</v>
      </c>
      <c r="C1391">
        <v>5</v>
      </c>
      <c r="D1391">
        <v>10</v>
      </c>
      <c r="E1391" t="s">
        <v>29</v>
      </c>
      <c r="F1391">
        <v>50</v>
      </c>
      <c r="G1391">
        <v>3</v>
      </c>
      <c r="H1391">
        <v>20</v>
      </c>
      <c r="I1391" t="s">
        <v>26</v>
      </c>
      <c r="J1391" s="3">
        <v>728.16018499999996</v>
      </c>
      <c r="K1391" s="3">
        <v>13612.992</v>
      </c>
      <c r="L1391" s="3">
        <v>13612.992</v>
      </c>
      <c r="M1391" s="3">
        <v>13612.992</v>
      </c>
      <c r="N1391" s="3">
        <v>13612.992</v>
      </c>
      <c r="O1391" s="4">
        <v>0</v>
      </c>
      <c r="P1391" s="4">
        <v>0</v>
      </c>
      <c r="Q1391" s="4">
        <v>0</v>
      </c>
      <c r="R1391" s="5">
        <v>1E-4</v>
      </c>
      <c r="S1391">
        <v>1</v>
      </c>
      <c r="T1391" t="b">
        <v>0</v>
      </c>
      <c r="U1391">
        <v>1</v>
      </c>
      <c r="V1391" s="4">
        <v>187.38</v>
      </c>
    </row>
    <row r="1392" spans="1:22" x14ac:dyDescent="0.35">
      <c r="A1392" t="s">
        <v>28</v>
      </c>
      <c r="B1392">
        <v>2</v>
      </c>
      <c r="C1392">
        <v>5</v>
      </c>
      <c r="D1392">
        <v>10</v>
      </c>
      <c r="E1392" t="s">
        <v>29</v>
      </c>
      <c r="F1392">
        <v>200</v>
      </c>
      <c r="G1392">
        <v>1</v>
      </c>
      <c r="H1392">
        <v>20</v>
      </c>
      <c r="I1392" t="s">
        <v>26</v>
      </c>
      <c r="J1392" s="3">
        <v>728.26858700000003</v>
      </c>
      <c r="K1392" s="3">
        <v>14481.279</v>
      </c>
      <c r="L1392" s="3">
        <v>14481.279</v>
      </c>
      <c r="M1392" s="3">
        <v>14481.279</v>
      </c>
      <c r="N1392" s="3">
        <v>13612.992</v>
      </c>
      <c r="O1392" s="4">
        <v>6.3784000000000001</v>
      </c>
      <c r="P1392" s="4">
        <v>6.3784000000000001</v>
      </c>
      <c r="Q1392" s="4">
        <v>6.3784000000000001</v>
      </c>
      <c r="R1392" s="5">
        <v>5.0000000000000001E-4</v>
      </c>
      <c r="S1392">
        <v>5</v>
      </c>
      <c r="T1392" t="b">
        <v>0</v>
      </c>
      <c r="U1392">
        <v>1</v>
      </c>
      <c r="V1392" s="4">
        <v>187.58</v>
      </c>
    </row>
    <row r="1393" spans="1:22" x14ac:dyDescent="0.35">
      <c r="A1393" t="s">
        <v>28</v>
      </c>
      <c r="B1393">
        <v>2</v>
      </c>
      <c r="C1393">
        <v>5</v>
      </c>
      <c r="D1393">
        <v>10</v>
      </c>
      <c r="E1393" t="s">
        <v>29</v>
      </c>
      <c r="F1393">
        <v>200</v>
      </c>
      <c r="G1393">
        <v>3</v>
      </c>
      <c r="H1393">
        <v>20</v>
      </c>
      <c r="I1393" t="s">
        <v>26</v>
      </c>
      <c r="J1393" s="3">
        <v>150.20548099999999</v>
      </c>
      <c r="K1393" s="3">
        <v>13932.264999999999</v>
      </c>
      <c r="L1393" s="3">
        <v>15021.325000000001</v>
      </c>
      <c r="M1393" s="3">
        <v>13612.992</v>
      </c>
      <c r="N1393" s="3">
        <v>13612.992</v>
      </c>
      <c r="O1393" s="4">
        <v>2.3454000000000002</v>
      </c>
      <c r="P1393" s="4">
        <v>10.345499999999999</v>
      </c>
      <c r="Q1393" s="4">
        <v>0</v>
      </c>
      <c r="R1393" s="5">
        <v>5.4899999999999997E-2</v>
      </c>
      <c r="S1393">
        <v>36</v>
      </c>
      <c r="T1393" t="b">
        <v>0</v>
      </c>
      <c r="U1393">
        <v>35</v>
      </c>
      <c r="V1393" s="4">
        <v>553.52</v>
      </c>
    </row>
    <row r="1394" spans="1:22" x14ac:dyDescent="0.35">
      <c r="A1394" t="s">
        <v>28</v>
      </c>
      <c r="B1394">
        <v>3</v>
      </c>
      <c r="C1394">
        <v>2</v>
      </c>
      <c r="D1394">
        <v>2</v>
      </c>
      <c r="E1394" t="s">
        <v>29</v>
      </c>
      <c r="F1394">
        <v>50</v>
      </c>
      <c r="G1394">
        <v>1</v>
      </c>
      <c r="H1394">
        <v>20</v>
      </c>
      <c r="I1394" t="s">
        <v>26</v>
      </c>
      <c r="J1394" s="3">
        <v>167.02368000000001</v>
      </c>
      <c r="K1394" s="3" t="s">
        <v>24</v>
      </c>
      <c r="L1394" s="3" t="s">
        <v>24</v>
      </c>
      <c r="M1394" s="3" t="s">
        <v>24</v>
      </c>
      <c r="N1394" s="3">
        <v>17329.107</v>
      </c>
      <c r="O1394" s="4"/>
      <c r="P1394" s="4"/>
      <c r="Q1394" s="4"/>
      <c r="R1394" s="5">
        <v>0</v>
      </c>
      <c r="S1394">
        <v>0</v>
      </c>
      <c r="T1394" t="b">
        <v>1</v>
      </c>
      <c r="U1394">
        <v>-1</v>
      </c>
      <c r="V1394" s="4">
        <v>37.53</v>
      </c>
    </row>
    <row r="1395" spans="1:22" x14ac:dyDescent="0.35">
      <c r="A1395" t="s">
        <v>28</v>
      </c>
      <c r="B1395">
        <v>3</v>
      </c>
      <c r="C1395">
        <v>2</v>
      </c>
      <c r="D1395">
        <v>2</v>
      </c>
      <c r="E1395" t="s">
        <v>29</v>
      </c>
      <c r="F1395">
        <v>50</v>
      </c>
      <c r="G1395">
        <v>3</v>
      </c>
      <c r="H1395">
        <v>20</v>
      </c>
      <c r="I1395" t="s">
        <v>26</v>
      </c>
      <c r="J1395" s="3">
        <v>55.65869</v>
      </c>
      <c r="K1395" s="3">
        <v>18418.167000000001</v>
      </c>
      <c r="L1395" s="3">
        <v>19469.175999999999</v>
      </c>
      <c r="M1395" s="3">
        <v>17329.107</v>
      </c>
      <c r="N1395" s="3">
        <v>17329.107</v>
      </c>
      <c r="O1395" s="4">
        <v>6.2846000000000002</v>
      </c>
      <c r="P1395" s="4">
        <v>12.349600000000001</v>
      </c>
      <c r="Q1395" s="4">
        <v>0</v>
      </c>
      <c r="R1395" s="5">
        <v>3.9899999999999998E-2</v>
      </c>
      <c r="S1395">
        <v>12</v>
      </c>
      <c r="T1395" t="b">
        <v>0</v>
      </c>
      <c r="U1395">
        <v>11</v>
      </c>
      <c r="V1395" s="4">
        <v>109.6</v>
      </c>
    </row>
    <row r="1396" spans="1:22" x14ac:dyDescent="0.35">
      <c r="A1396" t="s">
        <v>28</v>
      </c>
      <c r="B1396">
        <v>3</v>
      </c>
      <c r="C1396">
        <v>2</v>
      </c>
      <c r="D1396">
        <v>2</v>
      </c>
      <c r="E1396" t="s">
        <v>29</v>
      </c>
      <c r="F1396">
        <v>200</v>
      </c>
      <c r="G1396">
        <v>1</v>
      </c>
      <c r="H1396">
        <v>20</v>
      </c>
      <c r="I1396" t="s">
        <v>26</v>
      </c>
      <c r="J1396" s="3">
        <v>165.90926200000001</v>
      </c>
      <c r="K1396" s="3">
        <v>18737.439999999999</v>
      </c>
      <c r="L1396" s="3">
        <v>18737.439999999999</v>
      </c>
      <c r="M1396" s="3">
        <v>18737.439999999999</v>
      </c>
      <c r="N1396" s="3">
        <v>17329.107</v>
      </c>
      <c r="O1396" s="4">
        <v>8.1270000000000007</v>
      </c>
      <c r="P1396" s="4">
        <v>8.1270000000000007</v>
      </c>
      <c r="Q1396" s="4">
        <v>8.1270000000000007</v>
      </c>
      <c r="R1396" s="5">
        <v>1E-4</v>
      </c>
      <c r="S1396">
        <v>1</v>
      </c>
      <c r="T1396" t="b">
        <v>0</v>
      </c>
      <c r="U1396">
        <v>1</v>
      </c>
      <c r="V1396" s="4">
        <v>110.07</v>
      </c>
    </row>
    <row r="1397" spans="1:22" x14ac:dyDescent="0.35">
      <c r="A1397" t="s">
        <v>28</v>
      </c>
      <c r="B1397">
        <v>3</v>
      </c>
      <c r="C1397">
        <v>2</v>
      </c>
      <c r="D1397">
        <v>2</v>
      </c>
      <c r="E1397" t="s">
        <v>29</v>
      </c>
      <c r="F1397">
        <v>200</v>
      </c>
      <c r="G1397">
        <v>3</v>
      </c>
      <c r="H1397">
        <v>20</v>
      </c>
      <c r="I1397" t="s">
        <v>26</v>
      </c>
      <c r="J1397" s="3">
        <v>68.919832</v>
      </c>
      <c r="K1397" s="3">
        <v>17329.107</v>
      </c>
      <c r="L1397" s="3">
        <v>18418.167000000001</v>
      </c>
      <c r="M1397" s="3">
        <v>17329.107</v>
      </c>
      <c r="N1397" s="3">
        <v>17329.107</v>
      </c>
      <c r="O1397" s="4">
        <v>0</v>
      </c>
      <c r="P1397" s="4">
        <v>6.2846000000000002</v>
      </c>
      <c r="Q1397" s="4">
        <v>0</v>
      </c>
      <c r="R1397" s="5">
        <v>2.2000000000000001E-3</v>
      </c>
      <c r="S1397">
        <v>10</v>
      </c>
      <c r="T1397" t="b">
        <v>0</v>
      </c>
      <c r="U1397">
        <v>4</v>
      </c>
      <c r="V1397" s="4">
        <v>324.69</v>
      </c>
    </row>
    <row r="1398" spans="1:22" x14ac:dyDescent="0.35">
      <c r="A1398" t="s">
        <v>28</v>
      </c>
      <c r="B1398">
        <v>3</v>
      </c>
      <c r="C1398">
        <v>2</v>
      </c>
      <c r="D1398">
        <v>5</v>
      </c>
      <c r="E1398" t="s">
        <v>29</v>
      </c>
      <c r="F1398">
        <v>50</v>
      </c>
      <c r="G1398">
        <v>1</v>
      </c>
      <c r="H1398">
        <v>20</v>
      </c>
      <c r="I1398" t="s">
        <v>26</v>
      </c>
      <c r="J1398" s="3">
        <v>416.70595500000002</v>
      </c>
      <c r="K1398" s="3">
        <v>18418.167000000001</v>
      </c>
      <c r="L1398" s="3">
        <v>18418.167000000001</v>
      </c>
      <c r="M1398" s="3">
        <v>18418.167000000001</v>
      </c>
      <c r="N1398" s="3">
        <v>17329.107</v>
      </c>
      <c r="O1398" s="4">
        <v>6.2846000000000002</v>
      </c>
      <c r="P1398" s="4">
        <v>6.2846000000000002</v>
      </c>
      <c r="Q1398" s="4">
        <v>6.2846000000000002</v>
      </c>
      <c r="R1398" s="5">
        <v>1E-4</v>
      </c>
      <c r="S1398">
        <v>1</v>
      </c>
      <c r="T1398" t="b">
        <v>0</v>
      </c>
      <c r="U1398">
        <v>1</v>
      </c>
      <c r="V1398" s="4">
        <v>37.01</v>
      </c>
    </row>
    <row r="1399" spans="1:22" x14ac:dyDescent="0.35">
      <c r="A1399" t="s">
        <v>28</v>
      </c>
      <c r="B1399">
        <v>3</v>
      </c>
      <c r="C1399">
        <v>2</v>
      </c>
      <c r="D1399">
        <v>5</v>
      </c>
      <c r="E1399" t="s">
        <v>29</v>
      </c>
      <c r="F1399">
        <v>50</v>
      </c>
      <c r="G1399">
        <v>3</v>
      </c>
      <c r="H1399">
        <v>20</v>
      </c>
      <c r="I1399" t="s">
        <v>26</v>
      </c>
      <c r="J1399" s="3">
        <v>77.572666999999996</v>
      </c>
      <c r="K1399" s="3">
        <v>17329.107</v>
      </c>
      <c r="L1399" s="3">
        <v>20408.087</v>
      </c>
      <c r="M1399" s="3">
        <v>17329.107</v>
      </c>
      <c r="N1399" s="3">
        <v>17329.107</v>
      </c>
      <c r="O1399" s="4">
        <v>0</v>
      </c>
      <c r="P1399" s="4">
        <v>17.767700000000001</v>
      </c>
      <c r="Q1399" s="4">
        <v>0</v>
      </c>
      <c r="R1399" s="5">
        <v>4.5900000000000003E-2</v>
      </c>
      <c r="S1399">
        <v>12</v>
      </c>
      <c r="T1399" t="b">
        <v>0</v>
      </c>
      <c r="U1399">
        <v>6</v>
      </c>
      <c r="V1399" s="4">
        <v>109.53</v>
      </c>
    </row>
    <row r="1400" spans="1:22" x14ac:dyDescent="0.35">
      <c r="A1400" t="s">
        <v>28</v>
      </c>
      <c r="B1400">
        <v>3</v>
      </c>
      <c r="C1400">
        <v>2</v>
      </c>
      <c r="D1400">
        <v>5</v>
      </c>
      <c r="E1400" t="s">
        <v>29</v>
      </c>
      <c r="F1400">
        <v>200</v>
      </c>
      <c r="G1400">
        <v>1</v>
      </c>
      <c r="H1400">
        <v>20</v>
      </c>
      <c r="I1400" t="s">
        <v>26</v>
      </c>
      <c r="J1400" s="3">
        <v>407.26442900000001</v>
      </c>
      <c r="K1400" s="3">
        <v>18418.167000000001</v>
      </c>
      <c r="L1400" s="3">
        <v>19286.454000000002</v>
      </c>
      <c r="M1400" s="3">
        <v>18418.167000000001</v>
      </c>
      <c r="N1400" s="3">
        <v>17329.107</v>
      </c>
      <c r="O1400" s="4">
        <v>6.2846000000000002</v>
      </c>
      <c r="P1400" s="4">
        <v>11.2951</v>
      </c>
      <c r="Q1400" s="4">
        <v>6.2846000000000002</v>
      </c>
      <c r="R1400" s="5">
        <v>2.9999999999999997E-4</v>
      </c>
      <c r="S1400">
        <v>3</v>
      </c>
      <c r="T1400" t="b">
        <v>0</v>
      </c>
      <c r="U1400">
        <v>3</v>
      </c>
      <c r="V1400" s="4">
        <v>109.84</v>
      </c>
    </row>
    <row r="1401" spans="1:22" x14ac:dyDescent="0.35">
      <c r="A1401" t="s">
        <v>28</v>
      </c>
      <c r="B1401">
        <v>3</v>
      </c>
      <c r="C1401">
        <v>2</v>
      </c>
      <c r="D1401">
        <v>5</v>
      </c>
      <c r="E1401" t="s">
        <v>29</v>
      </c>
      <c r="F1401">
        <v>200</v>
      </c>
      <c r="G1401">
        <v>3</v>
      </c>
      <c r="H1401">
        <v>20</v>
      </c>
      <c r="I1401" t="s">
        <v>26</v>
      </c>
      <c r="J1401" s="3">
        <v>154.06532999999999</v>
      </c>
      <c r="K1401" s="3">
        <v>17329.107</v>
      </c>
      <c r="L1401" s="3">
        <v>18737.439999999999</v>
      </c>
      <c r="M1401" s="3">
        <v>17329.107</v>
      </c>
      <c r="N1401" s="3">
        <v>17329.107</v>
      </c>
      <c r="O1401" s="4">
        <v>0</v>
      </c>
      <c r="P1401" s="4">
        <v>8.1270000000000007</v>
      </c>
      <c r="Q1401" s="4">
        <v>0</v>
      </c>
      <c r="R1401" s="5">
        <v>2.5999999999999999E-3</v>
      </c>
      <c r="S1401">
        <v>10</v>
      </c>
      <c r="T1401" t="b">
        <v>0</v>
      </c>
      <c r="U1401">
        <v>4</v>
      </c>
      <c r="V1401" s="4">
        <v>325.08999999999997</v>
      </c>
    </row>
    <row r="1402" spans="1:22" x14ac:dyDescent="0.35">
      <c r="A1402" t="s">
        <v>28</v>
      </c>
      <c r="B1402">
        <v>3</v>
      </c>
      <c r="C1402">
        <v>2</v>
      </c>
      <c r="D1402">
        <v>10</v>
      </c>
      <c r="E1402" t="s">
        <v>29</v>
      </c>
      <c r="F1402">
        <v>50</v>
      </c>
      <c r="G1402">
        <v>1</v>
      </c>
      <c r="H1402">
        <v>20</v>
      </c>
      <c r="I1402" t="s">
        <v>26</v>
      </c>
      <c r="J1402" s="3">
        <v>798.04922499999998</v>
      </c>
      <c r="K1402" s="3" t="s">
        <v>24</v>
      </c>
      <c r="L1402" s="3" t="s">
        <v>24</v>
      </c>
      <c r="M1402" s="3" t="s">
        <v>24</v>
      </c>
      <c r="N1402" s="3">
        <v>17329.107</v>
      </c>
      <c r="O1402" s="4"/>
      <c r="P1402" s="4"/>
      <c r="Q1402" s="4"/>
      <c r="R1402" s="5">
        <v>0</v>
      </c>
      <c r="S1402">
        <v>0</v>
      </c>
      <c r="T1402" t="b">
        <v>1</v>
      </c>
      <c r="U1402">
        <v>-1</v>
      </c>
      <c r="V1402" s="4">
        <v>37.270000000000003</v>
      </c>
    </row>
    <row r="1403" spans="1:22" x14ac:dyDescent="0.35">
      <c r="A1403" t="s">
        <v>28</v>
      </c>
      <c r="B1403">
        <v>3</v>
      </c>
      <c r="C1403">
        <v>2</v>
      </c>
      <c r="D1403">
        <v>10</v>
      </c>
      <c r="E1403" t="s">
        <v>29</v>
      </c>
      <c r="F1403">
        <v>50</v>
      </c>
      <c r="G1403">
        <v>3</v>
      </c>
      <c r="H1403">
        <v>20</v>
      </c>
      <c r="I1403" t="s">
        <v>26</v>
      </c>
      <c r="J1403" s="3">
        <v>265.67124699999999</v>
      </c>
      <c r="K1403" s="3">
        <v>17329.107</v>
      </c>
      <c r="L1403" s="3">
        <v>18737.439999999999</v>
      </c>
      <c r="M1403" s="3">
        <v>17329.107</v>
      </c>
      <c r="N1403" s="3">
        <v>17329.107</v>
      </c>
      <c r="O1403" s="4">
        <v>0</v>
      </c>
      <c r="P1403" s="4">
        <v>8.1270000000000007</v>
      </c>
      <c r="Q1403" s="4">
        <v>0</v>
      </c>
      <c r="R1403" s="5">
        <v>2.4E-2</v>
      </c>
      <c r="S1403">
        <v>12</v>
      </c>
      <c r="T1403" t="b">
        <v>0</v>
      </c>
      <c r="U1403">
        <v>8</v>
      </c>
      <c r="V1403" s="4">
        <v>110.44</v>
      </c>
    </row>
    <row r="1404" spans="1:22" x14ac:dyDescent="0.35">
      <c r="A1404" t="s">
        <v>28</v>
      </c>
      <c r="B1404">
        <v>3</v>
      </c>
      <c r="C1404">
        <v>2</v>
      </c>
      <c r="D1404">
        <v>10</v>
      </c>
      <c r="E1404" t="s">
        <v>29</v>
      </c>
      <c r="F1404">
        <v>200</v>
      </c>
      <c r="G1404">
        <v>1</v>
      </c>
      <c r="H1404">
        <v>20</v>
      </c>
      <c r="I1404" t="s">
        <v>26</v>
      </c>
      <c r="J1404" s="3">
        <v>799.94113900000002</v>
      </c>
      <c r="K1404" s="3" t="s">
        <v>24</v>
      </c>
      <c r="L1404" s="3" t="s">
        <v>24</v>
      </c>
      <c r="M1404" s="3" t="s">
        <v>24</v>
      </c>
      <c r="N1404" s="3">
        <v>17329.107</v>
      </c>
      <c r="O1404" s="4"/>
      <c r="P1404" s="4"/>
      <c r="Q1404" s="4"/>
      <c r="R1404" s="5">
        <v>0</v>
      </c>
      <c r="S1404">
        <v>0</v>
      </c>
      <c r="T1404" t="b">
        <v>1</v>
      </c>
      <c r="U1404">
        <v>-1</v>
      </c>
      <c r="V1404" s="4">
        <v>110.34</v>
      </c>
    </row>
    <row r="1405" spans="1:22" x14ac:dyDescent="0.35">
      <c r="A1405" t="s">
        <v>28</v>
      </c>
      <c r="B1405">
        <v>3</v>
      </c>
      <c r="C1405">
        <v>2</v>
      </c>
      <c r="D1405">
        <v>10</v>
      </c>
      <c r="E1405" t="s">
        <v>29</v>
      </c>
      <c r="F1405">
        <v>200</v>
      </c>
      <c r="G1405">
        <v>3</v>
      </c>
      <c r="H1405">
        <v>20</v>
      </c>
      <c r="I1405" t="s">
        <v>26</v>
      </c>
      <c r="J1405" s="3">
        <v>290.636797</v>
      </c>
      <c r="K1405" s="3">
        <v>17329.107</v>
      </c>
      <c r="L1405" s="3">
        <v>17329.107</v>
      </c>
      <c r="M1405" s="3">
        <v>17329.107</v>
      </c>
      <c r="N1405" s="3">
        <v>17329.107</v>
      </c>
      <c r="O1405" s="4">
        <v>0</v>
      </c>
      <c r="P1405" s="4">
        <v>0</v>
      </c>
      <c r="Q1405" s="4">
        <v>0</v>
      </c>
      <c r="R1405" s="5">
        <v>4.5999999999999999E-3</v>
      </c>
      <c r="S1405">
        <v>12</v>
      </c>
      <c r="T1405" t="b">
        <v>0</v>
      </c>
      <c r="U1405">
        <v>1</v>
      </c>
      <c r="V1405" s="4">
        <v>324.58</v>
      </c>
    </row>
    <row r="1406" spans="1:22" x14ac:dyDescent="0.35">
      <c r="A1406" t="s">
        <v>28</v>
      </c>
      <c r="B1406">
        <v>3</v>
      </c>
      <c r="C1406">
        <v>5</v>
      </c>
      <c r="D1406">
        <v>2</v>
      </c>
      <c r="E1406" t="s">
        <v>29</v>
      </c>
      <c r="F1406">
        <v>50</v>
      </c>
      <c r="G1406">
        <v>1</v>
      </c>
      <c r="H1406">
        <v>20</v>
      </c>
      <c r="I1406" t="s">
        <v>26</v>
      </c>
      <c r="J1406" s="3">
        <v>167.55610999999999</v>
      </c>
      <c r="K1406" s="3">
        <v>18418.167000000001</v>
      </c>
      <c r="L1406" s="3">
        <v>18418.167000000001</v>
      </c>
      <c r="M1406" s="3">
        <v>18418.167000000001</v>
      </c>
      <c r="N1406" s="3">
        <v>17329.107</v>
      </c>
      <c r="O1406" s="4">
        <v>6.2846000000000002</v>
      </c>
      <c r="P1406" s="4">
        <v>6.2846000000000002</v>
      </c>
      <c r="Q1406" s="4">
        <v>6.2846000000000002</v>
      </c>
      <c r="R1406" s="5">
        <v>1E-4</v>
      </c>
      <c r="S1406">
        <v>1</v>
      </c>
      <c r="T1406" t="b">
        <v>0</v>
      </c>
      <c r="U1406">
        <v>1</v>
      </c>
      <c r="V1406" s="4">
        <v>62.58</v>
      </c>
    </row>
    <row r="1407" spans="1:22" x14ac:dyDescent="0.35">
      <c r="A1407" t="s">
        <v>28</v>
      </c>
      <c r="B1407">
        <v>3</v>
      </c>
      <c r="C1407">
        <v>5</v>
      </c>
      <c r="D1407">
        <v>2</v>
      </c>
      <c r="E1407" t="s">
        <v>29</v>
      </c>
      <c r="F1407">
        <v>50</v>
      </c>
      <c r="G1407">
        <v>3</v>
      </c>
      <c r="H1407">
        <v>20</v>
      </c>
      <c r="I1407" t="s">
        <v>26</v>
      </c>
      <c r="J1407" s="3">
        <v>163.16295199999999</v>
      </c>
      <c r="K1407" s="3" t="s">
        <v>24</v>
      </c>
      <c r="L1407" s="3" t="s">
        <v>24</v>
      </c>
      <c r="M1407" s="3" t="s">
        <v>24</v>
      </c>
      <c r="N1407" s="3">
        <v>17329.107</v>
      </c>
      <c r="O1407" s="4"/>
      <c r="P1407" s="4"/>
      <c r="Q1407" s="4"/>
      <c r="R1407" s="5">
        <v>0</v>
      </c>
      <c r="S1407">
        <v>0</v>
      </c>
      <c r="T1407" t="b">
        <v>1</v>
      </c>
      <c r="U1407">
        <v>-1</v>
      </c>
      <c r="V1407" s="4">
        <v>185.4</v>
      </c>
    </row>
    <row r="1408" spans="1:22" x14ac:dyDescent="0.35">
      <c r="A1408" t="s">
        <v>28</v>
      </c>
      <c r="B1408">
        <v>3</v>
      </c>
      <c r="C1408">
        <v>5</v>
      </c>
      <c r="D1408">
        <v>2</v>
      </c>
      <c r="E1408" t="s">
        <v>29</v>
      </c>
      <c r="F1408">
        <v>200</v>
      </c>
      <c r="G1408">
        <v>1</v>
      </c>
      <c r="H1408">
        <v>20</v>
      </c>
      <c r="I1408" t="s">
        <v>26</v>
      </c>
      <c r="J1408" s="3">
        <v>167.34814499999999</v>
      </c>
      <c r="K1408" s="3">
        <v>18737.439999999999</v>
      </c>
      <c r="L1408" s="3">
        <v>18737.439999999999</v>
      </c>
      <c r="M1408" s="3">
        <v>18737.439999999999</v>
      </c>
      <c r="N1408" s="3">
        <v>17329.107</v>
      </c>
      <c r="O1408" s="4">
        <v>8.1270000000000007</v>
      </c>
      <c r="P1408" s="4">
        <v>8.1270000000000007</v>
      </c>
      <c r="Q1408" s="4">
        <v>8.1270000000000007</v>
      </c>
      <c r="R1408" s="5">
        <v>1E-4</v>
      </c>
      <c r="S1408">
        <v>1</v>
      </c>
      <c r="T1408" t="b">
        <v>0</v>
      </c>
      <c r="U1408">
        <v>1</v>
      </c>
      <c r="V1408" s="4">
        <v>184.94</v>
      </c>
    </row>
    <row r="1409" spans="1:22" x14ac:dyDescent="0.35">
      <c r="A1409" t="s">
        <v>28</v>
      </c>
      <c r="B1409">
        <v>3</v>
      </c>
      <c r="C1409">
        <v>5</v>
      </c>
      <c r="D1409">
        <v>2</v>
      </c>
      <c r="E1409" t="s">
        <v>29</v>
      </c>
      <c r="F1409">
        <v>200</v>
      </c>
      <c r="G1409">
        <v>3</v>
      </c>
      <c r="H1409">
        <v>20</v>
      </c>
      <c r="I1409" t="s">
        <v>26</v>
      </c>
      <c r="J1409" s="3">
        <v>98.821524999999994</v>
      </c>
      <c r="K1409" s="3">
        <v>17329.107</v>
      </c>
      <c r="L1409" s="3">
        <v>17329.107</v>
      </c>
      <c r="M1409" s="3">
        <v>17329.107</v>
      </c>
      <c r="N1409" s="3">
        <v>17329.107</v>
      </c>
      <c r="O1409" s="4">
        <v>0</v>
      </c>
      <c r="P1409" s="4">
        <v>0</v>
      </c>
      <c r="Q1409" s="4">
        <v>0</v>
      </c>
      <c r="R1409" s="5">
        <v>4.0000000000000002E-4</v>
      </c>
      <c r="S1409">
        <v>3</v>
      </c>
      <c r="T1409" t="b">
        <v>0</v>
      </c>
      <c r="U1409">
        <v>2</v>
      </c>
      <c r="V1409" s="4">
        <v>552.5</v>
      </c>
    </row>
    <row r="1410" spans="1:22" x14ac:dyDescent="0.35">
      <c r="A1410" t="s">
        <v>28</v>
      </c>
      <c r="B1410">
        <v>3</v>
      </c>
      <c r="C1410">
        <v>5</v>
      </c>
      <c r="D1410">
        <v>5</v>
      </c>
      <c r="E1410" t="s">
        <v>29</v>
      </c>
      <c r="F1410">
        <v>50</v>
      </c>
      <c r="G1410">
        <v>1</v>
      </c>
      <c r="H1410">
        <v>20</v>
      </c>
      <c r="I1410" t="s">
        <v>26</v>
      </c>
      <c r="J1410" s="3">
        <v>410.03765499999997</v>
      </c>
      <c r="K1410" s="3" t="s">
        <v>24</v>
      </c>
      <c r="L1410" s="3" t="s">
        <v>24</v>
      </c>
      <c r="M1410" s="3" t="s">
        <v>24</v>
      </c>
      <c r="N1410" s="3">
        <v>17329.107</v>
      </c>
      <c r="O1410" s="4"/>
      <c r="P1410" s="4"/>
      <c r="Q1410" s="4"/>
      <c r="R1410" s="5">
        <v>0</v>
      </c>
      <c r="S1410">
        <v>0</v>
      </c>
      <c r="T1410" t="b">
        <v>1</v>
      </c>
      <c r="U1410">
        <v>-1</v>
      </c>
      <c r="V1410" s="4">
        <v>62.59</v>
      </c>
    </row>
    <row r="1411" spans="1:22" x14ac:dyDescent="0.35">
      <c r="A1411" t="s">
        <v>28</v>
      </c>
      <c r="B1411">
        <v>3</v>
      </c>
      <c r="C1411">
        <v>5</v>
      </c>
      <c r="D1411">
        <v>5</v>
      </c>
      <c r="E1411" t="s">
        <v>29</v>
      </c>
      <c r="F1411">
        <v>50</v>
      </c>
      <c r="G1411">
        <v>3</v>
      </c>
      <c r="H1411">
        <v>20</v>
      </c>
      <c r="I1411" t="s">
        <v>26</v>
      </c>
      <c r="J1411" s="3">
        <v>390.54224499999998</v>
      </c>
      <c r="K1411" s="3">
        <v>17329.107</v>
      </c>
      <c r="L1411" s="3">
        <v>18418.167000000001</v>
      </c>
      <c r="M1411" s="3">
        <v>17329.107</v>
      </c>
      <c r="N1411" s="3">
        <v>17329.107</v>
      </c>
      <c r="O1411" s="4">
        <v>0</v>
      </c>
      <c r="P1411" s="4">
        <v>6.2846000000000002</v>
      </c>
      <c r="Q1411" s="4">
        <v>0</v>
      </c>
      <c r="R1411" s="5">
        <v>5.0000000000000001E-4</v>
      </c>
      <c r="S1411">
        <v>4</v>
      </c>
      <c r="T1411" t="b">
        <v>0</v>
      </c>
      <c r="U1411">
        <v>3</v>
      </c>
      <c r="V1411" s="4">
        <v>187</v>
      </c>
    </row>
    <row r="1412" spans="1:22" x14ac:dyDescent="0.35">
      <c r="A1412" t="s">
        <v>28</v>
      </c>
      <c r="B1412">
        <v>3</v>
      </c>
      <c r="C1412">
        <v>5</v>
      </c>
      <c r="D1412">
        <v>5</v>
      </c>
      <c r="E1412" t="s">
        <v>29</v>
      </c>
      <c r="F1412">
        <v>200</v>
      </c>
      <c r="G1412">
        <v>1</v>
      </c>
      <c r="H1412">
        <v>20</v>
      </c>
      <c r="I1412" t="s">
        <v>26</v>
      </c>
      <c r="J1412" s="3">
        <v>401.65171400000003</v>
      </c>
      <c r="K1412" s="3">
        <v>17329.107</v>
      </c>
      <c r="L1412" s="3">
        <v>18418.167000000001</v>
      </c>
      <c r="M1412" s="3">
        <v>17329.107</v>
      </c>
      <c r="N1412" s="3">
        <v>17329.107</v>
      </c>
      <c r="O1412" s="4">
        <v>0</v>
      </c>
      <c r="P1412" s="4">
        <v>6.2846000000000002</v>
      </c>
      <c r="Q1412" s="4">
        <v>0</v>
      </c>
      <c r="R1412" s="5">
        <v>2.0000000000000001E-4</v>
      </c>
      <c r="S1412">
        <v>2</v>
      </c>
      <c r="T1412" t="b">
        <v>0</v>
      </c>
      <c r="U1412">
        <v>2</v>
      </c>
      <c r="V1412" s="4">
        <v>186.03</v>
      </c>
    </row>
    <row r="1413" spans="1:22" x14ac:dyDescent="0.35">
      <c r="A1413" t="s">
        <v>28</v>
      </c>
      <c r="B1413">
        <v>3</v>
      </c>
      <c r="C1413">
        <v>5</v>
      </c>
      <c r="D1413">
        <v>5</v>
      </c>
      <c r="E1413" t="s">
        <v>29</v>
      </c>
      <c r="F1413">
        <v>200</v>
      </c>
      <c r="G1413">
        <v>3</v>
      </c>
      <c r="H1413">
        <v>20</v>
      </c>
      <c r="I1413" t="s">
        <v>26</v>
      </c>
      <c r="J1413" s="3">
        <v>230.47519299999999</v>
      </c>
      <c r="K1413" s="3">
        <v>17329.107</v>
      </c>
      <c r="L1413" s="3">
        <v>18737.439999999999</v>
      </c>
      <c r="M1413" s="3">
        <v>17329.107</v>
      </c>
      <c r="N1413" s="3">
        <v>17329.107</v>
      </c>
      <c r="O1413" s="4">
        <v>0</v>
      </c>
      <c r="P1413" s="4">
        <v>8.1270000000000007</v>
      </c>
      <c r="Q1413" s="4">
        <v>0</v>
      </c>
      <c r="R1413" s="5">
        <v>3.8999999999999998E-3</v>
      </c>
      <c r="S1413">
        <v>12</v>
      </c>
      <c r="T1413" t="b">
        <v>0</v>
      </c>
      <c r="U1413">
        <v>4</v>
      </c>
      <c r="V1413" s="4">
        <v>553.41999999999996</v>
      </c>
    </row>
    <row r="1414" spans="1:22" x14ac:dyDescent="0.35">
      <c r="A1414" t="s">
        <v>28</v>
      </c>
      <c r="B1414">
        <v>3</v>
      </c>
      <c r="C1414">
        <v>5</v>
      </c>
      <c r="D1414">
        <v>10</v>
      </c>
      <c r="E1414" t="s">
        <v>29</v>
      </c>
      <c r="F1414">
        <v>50</v>
      </c>
      <c r="G1414">
        <v>1</v>
      </c>
      <c r="H1414">
        <v>20</v>
      </c>
      <c r="I1414" t="s">
        <v>26</v>
      </c>
      <c r="J1414" s="3">
        <v>812.71452599999998</v>
      </c>
      <c r="K1414" s="3" t="s">
        <v>24</v>
      </c>
      <c r="L1414" s="3" t="s">
        <v>24</v>
      </c>
      <c r="M1414" s="3" t="s">
        <v>24</v>
      </c>
      <c r="N1414" s="3">
        <v>17329.107</v>
      </c>
      <c r="O1414" s="4"/>
      <c r="P1414" s="4"/>
      <c r="Q1414" s="4"/>
      <c r="R1414" s="5">
        <v>0</v>
      </c>
      <c r="S1414">
        <v>0</v>
      </c>
      <c r="T1414" t="b">
        <v>1</v>
      </c>
      <c r="U1414">
        <v>-1</v>
      </c>
      <c r="V1414" s="4">
        <v>61.96</v>
      </c>
    </row>
    <row r="1415" spans="1:22" x14ac:dyDescent="0.35">
      <c r="A1415" t="s">
        <v>28</v>
      </c>
      <c r="B1415">
        <v>3</v>
      </c>
      <c r="C1415">
        <v>5</v>
      </c>
      <c r="D1415">
        <v>10</v>
      </c>
      <c r="E1415" t="s">
        <v>29</v>
      </c>
      <c r="F1415">
        <v>50</v>
      </c>
      <c r="G1415">
        <v>3</v>
      </c>
      <c r="H1415">
        <v>20</v>
      </c>
      <c r="I1415" t="s">
        <v>26</v>
      </c>
      <c r="J1415" s="3">
        <v>811.24250600000005</v>
      </c>
      <c r="K1415" s="3">
        <v>17329.107</v>
      </c>
      <c r="L1415" s="3">
        <v>17329.107</v>
      </c>
      <c r="M1415" s="3">
        <v>17329.107</v>
      </c>
      <c r="N1415" s="3">
        <v>17329.107</v>
      </c>
      <c r="O1415" s="4">
        <v>0</v>
      </c>
      <c r="P1415" s="4">
        <v>0</v>
      </c>
      <c r="Q1415" s="4">
        <v>0</v>
      </c>
      <c r="R1415" s="5">
        <v>1E-4</v>
      </c>
      <c r="S1415">
        <v>1</v>
      </c>
      <c r="T1415" t="b">
        <v>0</v>
      </c>
      <c r="U1415">
        <v>1</v>
      </c>
      <c r="V1415" s="4">
        <v>185.24</v>
      </c>
    </row>
    <row r="1416" spans="1:22" x14ac:dyDescent="0.35">
      <c r="A1416" t="s">
        <v>28</v>
      </c>
      <c r="B1416">
        <v>3</v>
      </c>
      <c r="C1416">
        <v>5</v>
      </c>
      <c r="D1416">
        <v>10</v>
      </c>
      <c r="E1416" t="s">
        <v>29</v>
      </c>
      <c r="F1416">
        <v>200</v>
      </c>
      <c r="G1416">
        <v>1</v>
      </c>
      <c r="H1416">
        <v>20</v>
      </c>
      <c r="I1416" t="s">
        <v>26</v>
      </c>
      <c r="J1416" s="3">
        <v>773.03738899999996</v>
      </c>
      <c r="K1416" s="3">
        <v>18737.439999999999</v>
      </c>
      <c r="L1416" s="3">
        <v>19286.454000000002</v>
      </c>
      <c r="M1416" s="3">
        <v>18737.439999999999</v>
      </c>
      <c r="N1416" s="3">
        <v>17329.107</v>
      </c>
      <c r="O1416" s="4">
        <v>8.1270000000000007</v>
      </c>
      <c r="P1416" s="4">
        <v>11.2951</v>
      </c>
      <c r="Q1416" s="4">
        <v>8.1270000000000007</v>
      </c>
      <c r="R1416" s="5">
        <v>2.9999999999999997E-4</v>
      </c>
      <c r="S1416">
        <v>3</v>
      </c>
      <c r="T1416" t="b">
        <v>0</v>
      </c>
      <c r="U1416">
        <v>2</v>
      </c>
      <c r="V1416" s="4">
        <v>186.09</v>
      </c>
    </row>
    <row r="1417" spans="1:22" x14ac:dyDescent="0.35">
      <c r="A1417" t="s">
        <v>28</v>
      </c>
      <c r="B1417">
        <v>3</v>
      </c>
      <c r="C1417">
        <v>5</v>
      </c>
      <c r="D1417">
        <v>10</v>
      </c>
      <c r="E1417" t="s">
        <v>29</v>
      </c>
      <c r="F1417">
        <v>200</v>
      </c>
      <c r="G1417">
        <v>3</v>
      </c>
      <c r="H1417">
        <v>20</v>
      </c>
      <c r="I1417" t="s">
        <v>26</v>
      </c>
      <c r="J1417" s="3">
        <v>506.96306499999997</v>
      </c>
      <c r="K1417" s="3">
        <v>17329.107</v>
      </c>
      <c r="L1417" s="3">
        <v>19286.454000000002</v>
      </c>
      <c r="M1417" s="3">
        <v>17329.107</v>
      </c>
      <c r="N1417" s="3">
        <v>17329.107</v>
      </c>
      <c r="O1417" s="4">
        <v>0</v>
      </c>
      <c r="P1417" s="4">
        <v>11.2951</v>
      </c>
      <c r="Q1417" s="4">
        <v>0</v>
      </c>
      <c r="R1417" s="5">
        <v>2.52E-2</v>
      </c>
      <c r="S1417">
        <v>12</v>
      </c>
      <c r="T1417" t="b">
        <v>0</v>
      </c>
      <c r="U1417">
        <v>7</v>
      </c>
      <c r="V1417" s="4">
        <v>554.01</v>
      </c>
    </row>
    <row r="1418" spans="1:22" x14ac:dyDescent="0.35">
      <c r="A1418" t="s">
        <v>28</v>
      </c>
      <c r="B1418">
        <v>4</v>
      </c>
      <c r="C1418">
        <v>2</v>
      </c>
      <c r="D1418">
        <v>2</v>
      </c>
      <c r="E1418" t="s">
        <v>29</v>
      </c>
      <c r="F1418">
        <v>50</v>
      </c>
      <c r="G1418">
        <v>1</v>
      </c>
      <c r="H1418">
        <v>20</v>
      </c>
      <c r="I1418" t="s">
        <v>26</v>
      </c>
      <c r="J1418" s="3">
        <v>213.718863</v>
      </c>
      <c r="K1418" s="3" t="s">
        <v>24</v>
      </c>
      <c r="L1418" s="3" t="s">
        <v>24</v>
      </c>
      <c r="M1418" s="3" t="s">
        <v>24</v>
      </c>
      <c r="N1418" s="3">
        <v>22134.281999999999</v>
      </c>
      <c r="O1418" s="4"/>
      <c r="P1418" s="4"/>
      <c r="Q1418" s="4"/>
      <c r="R1418" s="5">
        <v>0</v>
      </c>
      <c r="S1418">
        <v>0</v>
      </c>
      <c r="T1418" t="b">
        <v>1</v>
      </c>
      <c r="U1418">
        <v>-1</v>
      </c>
      <c r="V1418" s="4">
        <v>37.33</v>
      </c>
    </row>
    <row r="1419" spans="1:22" x14ac:dyDescent="0.35">
      <c r="A1419" t="s">
        <v>28</v>
      </c>
      <c r="B1419">
        <v>4</v>
      </c>
      <c r="C1419">
        <v>2</v>
      </c>
      <c r="D1419">
        <v>2</v>
      </c>
      <c r="E1419" t="s">
        <v>29</v>
      </c>
      <c r="F1419">
        <v>50</v>
      </c>
      <c r="G1419">
        <v>3</v>
      </c>
      <c r="H1419">
        <v>20</v>
      </c>
      <c r="I1419" t="s">
        <v>26</v>
      </c>
      <c r="J1419" s="3">
        <v>70.746481000000003</v>
      </c>
      <c r="K1419" s="3">
        <v>22134.281999999999</v>
      </c>
      <c r="L1419" s="3">
        <v>22134.281999999999</v>
      </c>
      <c r="M1419" s="3">
        <v>22134.281999999999</v>
      </c>
      <c r="N1419" s="3">
        <v>22134.281999999999</v>
      </c>
      <c r="O1419" s="4">
        <v>0</v>
      </c>
      <c r="P1419" s="4">
        <v>0</v>
      </c>
      <c r="Q1419" s="4">
        <v>0</v>
      </c>
      <c r="R1419" s="5">
        <v>7.4999999999999997E-3</v>
      </c>
      <c r="S1419">
        <v>1</v>
      </c>
      <c r="T1419" t="b">
        <v>0</v>
      </c>
      <c r="U1419">
        <v>1</v>
      </c>
      <c r="V1419" s="4">
        <v>108.62</v>
      </c>
    </row>
    <row r="1420" spans="1:22" x14ac:dyDescent="0.35">
      <c r="A1420" t="s">
        <v>28</v>
      </c>
      <c r="B1420">
        <v>4</v>
      </c>
      <c r="C1420">
        <v>2</v>
      </c>
      <c r="D1420">
        <v>2</v>
      </c>
      <c r="E1420" t="s">
        <v>29</v>
      </c>
      <c r="F1420">
        <v>200</v>
      </c>
      <c r="G1420">
        <v>1</v>
      </c>
      <c r="H1420">
        <v>20</v>
      </c>
      <c r="I1420" t="s">
        <v>26</v>
      </c>
      <c r="J1420" s="3">
        <v>214.436983</v>
      </c>
      <c r="K1420" s="3" t="s">
        <v>24</v>
      </c>
      <c r="L1420" s="3" t="s">
        <v>24</v>
      </c>
      <c r="M1420" s="3" t="s">
        <v>24</v>
      </c>
      <c r="N1420" s="3">
        <v>22134.281999999999</v>
      </c>
      <c r="O1420" s="4"/>
      <c r="P1420" s="4"/>
      <c r="Q1420" s="4"/>
      <c r="R1420" s="5">
        <v>0</v>
      </c>
      <c r="S1420">
        <v>0</v>
      </c>
      <c r="T1420" t="b">
        <v>1</v>
      </c>
      <c r="U1420">
        <v>-1</v>
      </c>
      <c r="V1420" s="4">
        <v>110.46</v>
      </c>
    </row>
    <row r="1421" spans="1:22" x14ac:dyDescent="0.35">
      <c r="A1421" t="s">
        <v>28</v>
      </c>
      <c r="B1421">
        <v>4</v>
      </c>
      <c r="C1421">
        <v>2</v>
      </c>
      <c r="D1421">
        <v>2</v>
      </c>
      <c r="E1421" t="s">
        <v>29</v>
      </c>
      <c r="F1421">
        <v>200</v>
      </c>
      <c r="G1421">
        <v>3</v>
      </c>
      <c r="H1421">
        <v>20</v>
      </c>
      <c r="I1421" t="s">
        <v>26</v>
      </c>
      <c r="J1421" s="3">
        <v>94.465924999999999</v>
      </c>
      <c r="K1421" s="3">
        <v>22134.281999999999</v>
      </c>
      <c r="L1421" s="3">
        <v>22134.281999999999</v>
      </c>
      <c r="M1421" s="3">
        <v>22134.281999999999</v>
      </c>
      <c r="N1421" s="3">
        <v>22134.281999999999</v>
      </c>
      <c r="O1421" s="4">
        <v>0</v>
      </c>
      <c r="P1421" s="4">
        <v>0</v>
      </c>
      <c r="Q1421" s="4">
        <v>0</v>
      </c>
      <c r="R1421" s="5">
        <v>1.5E-3</v>
      </c>
      <c r="S1421">
        <v>1</v>
      </c>
      <c r="T1421" t="b">
        <v>0</v>
      </c>
      <c r="U1421">
        <v>1</v>
      </c>
      <c r="V1421" s="4">
        <v>327.85</v>
      </c>
    </row>
    <row r="1422" spans="1:22" x14ac:dyDescent="0.35">
      <c r="A1422" t="s">
        <v>28</v>
      </c>
      <c r="B1422">
        <v>4</v>
      </c>
      <c r="C1422">
        <v>2</v>
      </c>
      <c r="D1422">
        <v>5</v>
      </c>
      <c r="E1422" t="s">
        <v>29</v>
      </c>
      <c r="F1422">
        <v>50</v>
      </c>
      <c r="G1422">
        <v>1</v>
      </c>
      <c r="H1422">
        <v>20</v>
      </c>
      <c r="I1422" t="s">
        <v>26</v>
      </c>
      <c r="J1422" s="3">
        <v>522.80329200000006</v>
      </c>
      <c r="K1422" s="3" t="s">
        <v>24</v>
      </c>
      <c r="L1422" s="3" t="s">
        <v>24</v>
      </c>
      <c r="M1422" s="3" t="s">
        <v>24</v>
      </c>
      <c r="N1422" s="3">
        <v>22134.281999999999</v>
      </c>
      <c r="O1422" s="4"/>
      <c r="P1422" s="4"/>
      <c r="Q1422" s="4"/>
      <c r="R1422" s="5">
        <v>0</v>
      </c>
      <c r="S1422">
        <v>0</v>
      </c>
      <c r="T1422" t="b">
        <v>1</v>
      </c>
      <c r="U1422">
        <v>-1</v>
      </c>
      <c r="V1422" s="4">
        <v>37.26</v>
      </c>
    </row>
    <row r="1423" spans="1:22" x14ac:dyDescent="0.35">
      <c r="A1423" t="s">
        <v>28</v>
      </c>
      <c r="B1423">
        <v>4</v>
      </c>
      <c r="C1423">
        <v>2</v>
      </c>
      <c r="D1423">
        <v>5</v>
      </c>
      <c r="E1423" t="s">
        <v>29</v>
      </c>
      <c r="F1423">
        <v>50</v>
      </c>
      <c r="G1423">
        <v>3</v>
      </c>
      <c r="H1423">
        <v>20</v>
      </c>
      <c r="I1423" t="s">
        <v>26</v>
      </c>
      <c r="J1423" s="3">
        <v>169.10625099999999</v>
      </c>
      <c r="K1423" s="3">
        <v>22134.281999999999</v>
      </c>
      <c r="L1423" s="3">
        <v>22134.281999999999</v>
      </c>
      <c r="M1423" s="3">
        <v>22134.281999999999</v>
      </c>
      <c r="N1423" s="3">
        <v>22134.281999999999</v>
      </c>
      <c r="O1423" s="4">
        <v>0</v>
      </c>
      <c r="P1423" s="4">
        <v>0</v>
      </c>
      <c r="Q1423" s="4">
        <v>0</v>
      </c>
      <c r="R1423" s="5">
        <v>5.7999999999999996E-3</v>
      </c>
      <c r="S1423">
        <v>1</v>
      </c>
      <c r="T1423" t="b">
        <v>0</v>
      </c>
      <c r="U1423">
        <v>1</v>
      </c>
      <c r="V1423" s="4">
        <v>108.27</v>
      </c>
    </row>
    <row r="1424" spans="1:22" x14ac:dyDescent="0.35">
      <c r="A1424" t="s">
        <v>28</v>
      </c>
      <c r="B1424">
        <v>4</v>
      </c>
      <c r="C1424">
        <v>2</v>
      </c>
      <c r="D1424">
        <v>5</v>
      </c>
      <c r="E1424" t="s">
        <v>29</v>
      </c>
      <c r="F1424">
        <v>200</v>
      </c>
      <c r="G1424">
        <v>1</v>
      </c>
      <c r="H1424">
        <v>20</v>
      </c>
      <c r="I1424" t="s">
        <v>26</v>
      </c>
      <c r="J1424" s="3">
        <v>534.36100399999998</v>
      </c>
      <c r="K1424" s="3">
        <v>22134.281999999999</v>
      </c>
      <c r="L1424" s="3">
        <v>22134.281999999999</v>
      </c>
      <c r="M1424" s="3">
        <v>22134.281999999999</v>
      </c>
      <c r="N1424" s="3">
        <v>22134.281999999999</v>
      </c>
      <c r="O1424" s="4">
        <v>0</v>
      </c>
      <c r="P1424" s="4">
        <v>0</v>
      </c>
      <c r="Q1424" s="4">
        <v>0</v>
      </c>
      <c r="R1424" s="5">
        <v>5.0000000000000001E-4</v>
      </c>
      <c r="S1424">
        <v>1</v>
      </c>
      <c r="T1424" t="b">
        <v>0</v>
      </c>
      <c r="U1424">
        <v>1</v>
      </c>
      <c r="V1424" s="4">
        <v>110.06</v>
      </c>
    </row>
    <row r="1425" spans="1:22" x14ac:dyDescent="0.35">
      <c r="A1425" t="s">
        <v>28</v>
      </c>
      <c r="B1425">
        <v>4</v>
      </c>
      <c r="C1425">
        <v>2</v>
      </c>
      <c r="D1425">
        <v>5</v>
      </c>
      <c r="E1425" t="s">
        <v>29</v>
      </c>
      <c r="F1425">
        <v>200</v>
      </c>
      <c r="G1425">
        <v>3</v>
      </c>
      <c r="H1425">
        <v>20</v>
      </c>
      <c r="I1425" t="s">
        <v>26</v>
      </c>
      <c r="J1425" s="3">
        <v>378.268935</v>
      </c>
      <c r="K1425" s="3" t="s">
        <v>24</v>
      </c>
      <c r="L1425" s="3" t="s">
        <v>24</v>
      </c>
      <c r="M1425" s="3" t="s">
        <v>24</v>
      </c>
      <c r="N1425" s="3">
        <v>22134.281999999999</v>
      </c>
      <c r="O1425" s="4"/>
      <c r="P1425" s="4"/>
      <c r="Q1425" s="4"/>
      <c r="R1425" s="5">
        <v>0</v>
      </c>
      <c r="S1425">
        <v>0</v>
      </c>
      <c r="T1425" t="b">
        <v>1</v>
      </c>
      <c r="U1425">
        <v>-1</v>
      </c>
      <c r="V1425" s="4">
        <v>328.8</v>
      </c>
    </row>
    <row r="1426" spans="1:22" x14ac:dyDescent="0.35">
      <c r="A1426" t="s">
        <v>28</v>
      </c>
      <c r="B1426">
        <v>4</v>
      </c>
      <c r="C1426">
        <v>2</v>
      </c>
      <c r="D1426">
        <v>10</v>
      </c>
      <c r="E1426" t="s">
        <v>29</v>
      </c>
      <c r="F1426">
        <v>50</v>
      </c>
      <c r="G1426">
        <v>1</v>
      </c>
      <c r="H1426">
        <v>20</v>
      </c>
      <c r="I1426" t="s">
        <v>26</v>
      </c>
      <c r="J1426" s="3">
        <v>1043.878072</v>
      </c>
      <c r="K1426" s="3" t="s">
        <v>24</v>
      </c>
      <c r="L1426" s="3" t="s">
        <v>24</v>
      </c>
      <c r="M1426" s="3" t="s">
        <v>24</v>
      </c>
      <c r="N1426" s="3">
        <v>22134.281999999999</v>
      </c>
      <c r="O1426" s="4"/>
      <c r="P1426" s="4"/>
      <c r="Q1426" s="4"/>
      <c r="R1426" s="5">
        <v>0</v>
      </c>
      <c r="S1426">
        <v>0</v>
      </c>
      <c r="T1426" t="b">
        <v>1</v>
      </c>
      <c r="U1426">
        <v>-1</v>
      </c>
      <c r="V1426" s="4">
        <v>37.14</v>
      </c>
    </row>
    <row r="1427" spans="1:22" x14ac:dyDescent="0.35">
      <c r="A1427" t="s">
        <v>28</v>
      </c>
      <c r="B1427">
        <v>4</v>
      </c>
      <c r="C1427">
        <v>2</v>
      </c>
      <c r="D1427">
        <v>10</v>
      </c>
      <c r="E1427" t="s">
        <v>29</v>
      </c>
      <c r="F1427">
        <v>50</v>
      </c>
      <c r="G1427">
        <v>3</v>
      </c>
      <c r="H1427">
        <v>20</v>
      </c>
      <c r="I1427" t="s">
        <v>26</v>
      </c>
      <c r="J1427" s="3">
        <v>339.82484299999999</v>
      </c>
      <c r="K1427" s="3">
        <v>22134.281999999999</v>
      </c>
      <c r="L1427" s="3">
        <v>22134.281999999999</v>
      </c>
      <c r="M1427" s="3">
        <v>22134.281999999999</v>
      </c>
      <c r="N1427" s="3">
        <v>22134.281999999999</v>
      </c>
      <c r="O1427" s="4">
        <v>0</v>
      </c>
      <c r="P1427" s="4">
        <v>0</v>
      </c>
      <c r="Q1427" s="4">
        <v>0</v>
      </c>
      <c r="R1427" s="5">
        <v>4.7999999999999996E-3</v>
      </c>
      <c r="S1427">
        <v>1</v>
      </c>
      <c r="T1427" t="b">
        <v>0</v>
      </c>
      <c r="U1427">
        <v>1</v>
      </c>
      <c r="V1427" s="4">
        <v>109.08</v>
      </c>
    </row>
    <row r="1428" spans="1:22" x14ac:dyDescent="0.35">
      <c r="A1428" t="s">
        <v>28</v>
      </c>
      <c r="B1428">
        <v>4</v>
      </c>
      <c r="C1428">
        <v>2</v>
      </c>
      <c r="D1428">
        <v>10</v>
      </c>
      <c r="E1428" t="s">
        <v>29</v>
      </c>
      <c r="F1428">
        <v>200</v>
      </c>
      <c r="G1428">
        <v>1</v>
      </c>
      <c r="H1428">
        <v>20</v>
      </c>
      <c r="I1428" t="s">
        <v>26</v>
      </c>
      <c r="J1428" s="3">
        <v>1507.897477</v>
      </c>
      <c r="K1428" s="3" t="s">
        <v>24</v>
      </c>
      <c r="L1428" s="3" t="s">
        <v>24</v>
      </c>
      <c r="M1428" s="3" t="s">
        <v>24</v>
      </c>
      <c r="N1428" s="3">
        <v>22134.281999999999</v>
      </c>
      <c r="O1428" s="4"/>
      <c r="P1428" s="4"/>
      <c r="Q1428" s="4"/>
      <c r="R1428" s="5">
        <v>0</v>
      </c>
      <c r="S1428">
        <v>0</v>
      </c>
      <c r="T1428" t="b">
        <v>1</v>
      </c>
      <c r="U1428">
        <v>-1</v>
      </c>
      <c r="V1428" s="4">
        <v>110.48</v>
      </c>
    </row>
    <row r="1429" spans="1:22" x14ac:dyDescent="0.35">
      <c r="A1429" t="s">
        <v>28</v>
      </c>
      <c r="B1429">
        <v>4</v>
      </c>
      <c r="C1429">
        <v>2</v>
      </c>
      <c r="D1429">
        <v>10</v>
      </c>
      <c r="E1429" t="s">
        <v>29</v>
      </c>
      <c r="F1429">
        <v>200</v>
      </c>
      <c r="G1429">
        <v>3</v>
      </c>
      <c r="H1429">
        <v>20</v>
      </c>
      <c r="I1429" t="s">
        <v>26</v>
      </c>
      <c r="J1429" s="3">
        <v>818.36529599999994</v>
      </c>
      <c r="K1429" s="3" t="s">
        <v>24</v>
      </c>
      <c r="L1429" s="3" t="s">
        <v>24</v>
      </c>
      <c r="M1429" s="3" t="s">
        <v>24</v>
      </c>
      <c r="N1429" s="3">
        <v>22134.281999999999</v>
      </c>
      <c r="O1429" s="4"/>
      <c r="P1429" s="4"/>
      <c r="Q1429" s="4"/>
      <c r="R1429" s="5">
        <v>0</v>
      </c>
      <c r="S1429">
        <v>0</v>
      </c>
      <c r="T1429" t="b">
        <v>1</v>
      </c>
      <c r="U1429">
        <v>-1</v>
      </c>
      <c r="V1429" s="4">
        <v>327.85</v>
      </c>
    </row>
    <row r="1430" spans="1:22" x14ac:dyDescent="0.35">
      <c r="A1430" t="s">
        <v>28</v>
      </c>
      <c r="B1430">
        <v>4</v>
      </c>
      <c r="C1430">
        <v>5</v>
      </c>
      <c r="D1430">
        <v>2</v>
      </c>
      <c r="E1430" t="s">
        <v>29</v>
      </c>
      <c r="F1430">
        <v>50</v>
      </c>
      <c r="G1430">
        <v>1</v>
      </c>
      <c r="H1430">
        <v>20</v>
      </c>
      <c r="I1430" t="s">
        <v>26</v>
      </c>
      <c r="J1430" s="3">
        <v>217.621229</v>
      </c>
      <c r="K1430" s="3">
        <v>22134.281999999999</v>
      </c>
      <c r="L1430" s="3">
        <v>22134.281999999999</v>
      </c>
      <c r="M1430" s="3">
        <v>22134.281999999999</v>
      </c>
      <c r="N1430" s="3">
        <v>22134.281999999999</v>
      </c>
      <c r="O1430" s="4">
        <v>0</v>
      </c>
      <c r="P1430" s="4">
        <v>0</v>
      </c>
      <c r="Q1430" s="4">
        <v>0</v>
      </c>
      <c r="R1430" s="5">
        <v>1E-4</v>
      </c>
      <c r="S1430">
        <v>1</v>
      </c>
      <c r="T1430" t="b">
        <v>0</v>
      </c>
      <c r="U1430">
        <v>1</v>
      </c>
      <c r="V1430" s="4">
        <v>62.65</v>
      </c>
    </row>
    <row r="1431" spans="1:22" x14ac:dyDescent="0.35">
      <c r="A1431" t="s">
        <v>28</v>
      </c>
      <c r="B1431">
        <v>4</v>
      </c>
      <c r="C1431">
        <v>5</v>
      </c>
      <c r="D1431">
        <v>2</v>
      </c>
      <c r="E1431" t="s">
        <v>29</v>
      </c>
      <c r="F1431">
        <v>50</v>
      </c>
      <c r="G1431">
        <v>3</v>
      </c>
      <c r="H1431">
        <v>20</v>
      </c>
      <c r="I1431" t="s">
        <v>26</v>
      </c>
      <c r="J1431" s="3">
        <v>216.912206</v>
      </c>
      <c r="K1431" s="3">
        <v>22134.281999999999</v>
      </c>
      <c r="L1431" s="3">
        <v>22134.281999999999</v>
      </c>
      <c r="M1431" s="3">
        <v>22134.281999999999</v>
      </c>
      <c r="N1431" s="3">
        <v>22134.281999999999</v>
      </c>
      <c r="O1431" s="4">
        <v>0</v>
      </c>
      <c r="P1431" s="4">
        <v>0</v>
      </c>
      <c r="Q1431" s="4">
        <v>0</v>
      </c>
      <c r="R1431" s="5">
        <v>2.0000000000000001E-4</v>
      </c>
      <c r="S1431">
        <v>1</v>
      </c>
      <c r="T1431" t="b">
        <v>0</v>
      </c>
      <c r="U1431">
        <v>1</v>
      </c>
      <c r="V1431" s="4">
        <v>185.23</v>
      </c>
    </row>
    <row r="1432" spans="1:22" x14ac:dyDescent="0.35">
      <c r="A1432" t="s">
        <v>28</v>
      </c>
      <c r="B1432">
        <v>4</v>
      </c>
      <c r="C1432">
        <v>5</v>
      </c>
      <c r="D1432">
        <v>2</v>
      </c>
      <c r="E1432" t="s">
        <v>29</v>
      </c>
      <c r="F1432">
        <v>200</v>
      </c>
      <c r="G1432">
        <v>1</v>
      </c>
      <c r="H1432">
        <v>20</v>
      </c>
      <c r="I1432" t="s">
        <v>26</v>
      </c>
      <c r="J1432" s="3">
        <v>214.49932799999999</v>
      </c>
      <c r="K1432" s="3" t="s">
        <v>24</v>
      </c>
      <c r="L1432" s="3" t="s">
        <v>24</v>
      </c>
      <c r="M1432" s="3" t="s">
        <v>24</v>
      </c>
      <c r="N1432" s="3">
        <v>22134.281999999999</v>
      </c>
      <c r="O1432" s="4"/>
      <c r="P1432" s="4"/>
      <c r="Q1432" s="4"/>
      <c r="R1432" s="5">
        <v>0</v>
      </c>
      <c r="S1432">
        <v>0</v>
      </c>
      <c r="T1432" t="b">
        <v>1</v>
      </c>
      <c r="U1432">
        <v>-1</v>
      </c>
      <c r="V1432" s="4">
        <v>184.55</v>
      </c>
    </row>
    <row r="1433" spans="1:22" x14ac:dyDescent="0.35">
      <c r="A1433" t="s">
        <v>28</v>
      </c>
      <c r="B1433">
        <v>4</v>
      </c>
      <c r="C1433">
        <v>5</v>
      </c>
      <c r="D1433">
        <v>2</v>
      </c>
      <c r="E1433" t="s">
        <v>29</v>
      </c>
      <c r="F1433">
        <v>200</v>
      </c>
      <c r="G1433">
        <v>3</v>
      </c>
      <c r="H1433">
        <v>20</v>
      </c>
      <c r="I1433" t="s">
        <v>26</v>
      </c>
      <c r="J1433" s="3">
        <v>124.349322</v>
      </c>
      <c r="K1433" s="3">
        <v>22134.281999999999</v>
      </c>
      <c r="L1433" s="3">
        <v>22134.281999999999</v>
      </c>
      <c r="M1433" s="3">
        <v>22134.281999999999</v>
      </c>
      <c r="N1433" s="3">
        <v>22134.281999999999</v>
      </c>
      <c r="O1433" s="4">
        <v>0</v>
      </c>
      <c r="P1433" s="4">
        <v>0</v>
      </c>
      <c r="Q1433" s="4">
        <v>0</v>
      </c>
      <c r="R1433" s="5">
        <v>3.2000000000000002E-3</v>
      </c>
      <c r="S1433">
        <v>1</v>
      </c>
      <c r="T1433" t="b">
        <v>0</v>
      </c>
      <c r="U1433">
        <v>1</v>
      </c>
      <c r="V1433" s="4">
        <v>552.14</v>
      </c>
    </row>
    <row r="1434" spans="1:22" x14ac:dyDescent="0.35">
      <c r="A1434" t="s">
        <v>28</v>
      </c>
      <c r="B1434">
        <v>4</v>
      </c>
      <c r="C1434">
        <v>5</v>
      </c>
      <c r="D1434">
        <v>5</v>
      </c>
      <c r="E1434" t="s">
        <v>29</v>
      </c>
      <c r="F1434">
        <v>50</v>
      </c>
      <c r="G1434">
        <v>1</v>
      </c>
      <c r="H1434">
        <v>20</v>
      </c>
      <c r="I1434" t="s">
        <v>26</v>
      </c>
      <c r="J1434" s="3">
        <v>533.00592500000005</v>
      </c>
      <c r="K1434" s="3" t="s">
        <v>24</v>
      </c>
      <c r="L1434" s="3" t="s">
        <v>24</v>
      </c>
      <c r="M1434" s="3" t="s">
        <v>24</v>
      </c>
      <c r="N1434" s="3">
        <v>22134.281999999999</v>
      </c>
      <c r="O1434" s="4"/>
      <c r="P1434" s="4"/>
      <c r="Q1434" s="4"/>
      <c r="R1434" s="5">
        <v>0</v>
      </c>
      <c r="S1434">
        <v>0</v>
      </c>
      <c r="T1434" t="b">
        <v>1</v>
      </c>
      <c r="U1434">
        <v>-1</v>
      </c>
      <c r="V1434" s="4">
        <v>62.14</v>
      </c>
    </row>
    <row r="1435" spans="1:22" x14ac:dyDescent="0.35">
      <c r="A1435" t="s">
        <v>28</v>
      </c>
      <c r="B1435">
        <v>4</v>
      </c>
      <c r="C1435">
        <v>5</v>
      </c>
      <c r="D1435">
        <v>5</v>
      </c>
      <c r="E1435" t="s">
        <v>29</v>
      </c>
      <c r="F1435">
        <v>50</v>
      </c>
      <c r="G1435">
        <v>3</v>
      </c>
      <c r="H1435">
        <v>20</v>
      </c>
      <c r="I1435" t="s">
        <v>26</v>
      </c>
      <c r="J1435" s="3">
        <v>524.89855499999999</v>
      </c>
      <c r="K1435" s="3" t="s">
        <v>24</v>
      </c>
      <c r="L1435" s="3" t="s">
        <v>24</v>
      </c>
      <c r="M1435" s="3" t="s">
        <v>24</v>
      </c>
      <c r="N1435" s="3">
        <v>22134.281999999999</v>
      </c>
      <c r="O1435" s="4"/>
      <c r="P1435" s="4"/>
      <c r="Q1435" s="4"/>
      <c r="R1435" s="5">
        <v>0</v>
      </c>
      <c r="S1435">
        <v>0</v>
      </c>
      <c r="T1435" t="b">
        <v>1</v>
      </c>
      <c r="U1435">
        <v>-1</v>
      </c>
      <c r="V1435" s="4">
        <v>184.69</v>
      </c>
    </row>
    <row r="1436" spans="1:22" x14ac:dyDescent="0.35">
      <c r="A1436" t="s">
        <v>28</v>
      </c>
      <c r="B1436">
        <v>4</v>
      </c>
      <c r="C1436">
        <v>5</v>
      </c>
      <c r="D1436">
        <v>5</v>
      </c>
      <c r="E1436" t="s">
        <v>29</v>
      </c>
      <c r="F1436">
        <v>200</v>
      </c>
      <c r="G1436">
        <v>1</v>
      </c>
      <c r="H1436">
        <v>20</v>
      </c>
      <c r="I1436" t="s">
        <v>26</v>
      </c>
      <c r="J1436" s="3">
        <v>534.19231300000001</v>
      </c>
      <c r="K1436" s="3" t="s">
        <v>24</v>
      </c>
      <c r="L1436" s="3" t="s">
        <v>24</v>
      </c>
      <c r="M1436" s="3" t="s">
        <v>24</v>
      </c>
      <c r="N1436" s="3">
        <v>22134.281999999999</v>
      </c>
      <c r="O1436" s="4"/>
      <c r="P1436" s="4"/>
      <c r="Q1436" s="4"/>
      <c r="R1436" s="5">
        <v>0</v>
      </c>
      <c r="S1436">
        <v>0</v>
      </c>
      <c r="T1436" t="b">
        <v>1</v>
      </c>
      <c r="U1436">
        <v>-1</v>
      </c>
      <c r="V1436" s="4">
        <v>184.96</v>
      </c>
    </row>
    <row r="1437" spans="1:22" x14ac:dyDescent="0.35">
      <c r="A1437" t="s">
        <v>28</v>
      </c>
      <c r="B1437">
        <v>4</v>
      </c>
      <c r="C1437">
        <v>5</v>
      </c>
      <c r="D1437">
        <v>5</v>
      </c>
      <c r="E1437" t="s">
        <v>29</v>
      </c>
      <c r="F1437">
        <v>200</v>
      </c>
      <c r="G1437">
        <v>3</v>
      </c>
      <c r="H1437">
        <v>20</v>
      </c>
      <c r="I1437" t="s">
        <v>26</v>
      </c>
      <c r="J1437" s="3">
        <v>486.820358</v>
      </c>
      <c r="K1437" s="3">
        <v>22134.281999999999</v>
      </c>
      <c r="L1437" s="3">
        <v>22134.281999999999</v>
      </c>
      <c r="M1437" s="3">
        <v>22134.281999999999</v>
      </c>
      <c r="N1437" s="3">
        <v>22134.281999999999</v>
      </c>
      <c r="O1437" s="4">
        <v>0</v>
      </c>
      <c r="P1437" s="4">
        <v>0</v>
      </c>
      <c r="Q1437" s="4">
        <v>0</v>
      </c>
      <c r="R1437" s="5">
        <v>1.6999999999999999E-3</v>
      </c>
      <c r="S1437">
        <v>1</v>
      </c>
      <c r="T1437" t="b">
        <v>0</v>
      </c>
      <c r="U1437">
        <v>1</v>
      </c>
      <c r="V1437" s="4">
        <v>553.07000000000005</v>
      </c>
    </row>
    <row r="1438" spans="1:22" x14ac:dyDescent="0.35">
      <c r="A1438" t="s">
        <v>28</v>
      </c>
      <c r="B1438">
        <v>4</v>
      </c>
      <c r="C1438">
        <v>5</v>
      </c>
      <c r="D1438">
        <v>10</v>
      </c>
      <c r="E1438" t="s">
        <v>29</v>
      </c>
      <c r="F1438">
        <v>50</v>
      </c>
      <c r="G1438">
        <v>1</v>
      </c>
      <c r="H1438">
        <v>20</v>
      </c>
      <c r="I1438" t="s">
        <v>26</v>
      </c>
      <c r="J1438" s="3">
        <v>1059.9351819999999</v>
      </c>
      <c r="K1438" s="3" t="s">
        <v>24</v>
      </c>
      <c r="L1438" s="3" t="s">
        <v>24</v>
      </c>
      <c r="M1438" s="3" t="s">
        <v>24</v>
      </c>
      <c r="N1438" s="3">
        <v>22134.281999999999</v>
      </c>
      <c r="O1438" s="4"/>
      <c r="P1438" s="4"/>
      <c r="Q1438" s="4"/>
      <c r="R1438" s="5">
        <v>0</v>
      </c>
      <c r="S1438">
        <v>0</v>
      </c>
      <c r="T1438" t="b">
        <v>1</v>
      </c>
      <c r="U1438">
        <v>-1</v>
      </c>
      <c r="V1438" s="4">
        <v>62.44</v>
      </c>
    </row>
    <row r="1439" spans="1:22" x14ac:dyDescent="0.35">
      <c r="A1439" t="s">
        <v>28</v>
      </c>
      <c r="B1439">
        <v>4</v>
      </c>
      <c r="C1439">
        <v>5</v>
      </c>
      <c r="D1439">
        <v>10</v>
      </c>
      <c r="E1439" t="s">
        <v>29</v>
      </c>
      <c r="F1439">
        <v>50</v>
      </c>
      <c r="G1439">
        <v>3</v>
      </c>
      <c r="H1439">
        <v>20</v>
      </c>
      <c r="I1439" t="s">
        <v>26</v>
      </c>
      <c r="J1439" s="3">
        <v>997.38165300000003</v>
      </c>
      <c r="K1439" s="3">
        <v>22134.281999999999</v>
      </c>
      <c r="L1439" s="3">
        <v>22134.281999999999</v>
      </c>
      <c r="M1439" s="3">
        <v>22134.281999999999</v>
      </c>
      <c r="N1439" s="3">
        <v>22134.281999999999</v>
      </c>
      <c r="O1439" s="4">
        <v>0</v>
      </c>
      <c r="P1439" s="4">
        <v>0</v>
      </c>
      <c r="Q1439" s="4">
        <v>0</v>
      </c>
      <c r="R1439" s="5">
        <v>2.0000000000000001E-4</v>
      </c>
      <c r="S1439">
        <v>1</v>
      </c>
      <c r="T1439" t="b">
        <v>0</v>
      </c>
      <c r="U1439">
        <v>1</v>
      </c>
      <c r="V1439" s="4">
        <v>185.25</v>
      </c>
    </row>
    <row r="1440" spans="1:22" x14ac:dyDescent="0.35">
      <c r="A1440" t="s">
        <v>28</v>
      </c>
      <c r="B1440">
        <v>4</v>
      </c>
      <c r="C1440">
        <v>5</v>
      </c>
      <c r="D1440">
        <v>10</v>
      </c>
      <c r="E1440" t="s">
        <v>29</v>
      </c>
      <c r="F1440">
        <v>200</v>
      </c>
      <c r="G1440">
        <v>1</v>
      </c>
      <c r="H1440">
        <v>20</v>
      </c>
      <c r="I1440" t="s">
        <v>26</v>
      </c>
      <c r="J1440" s="3">
        <v>1047.8748189999999</v>
      </c>
      <c r="K1440" s="3" t="s">
        <v>24</v>
      </c>
      <c r="L1440" s="3" t="s">
        <v>24</v>
      </c>
      <c r="M1440" s="3" t="s">
        <v>24</v>
      </c>
      <c r="N1440" s="3">
        <v>22134.281999999999</v>
      </c>
      <c r="O1440" s="4"/>
      <c r="P1440" s="4"/>
      <c r="Q1440" s="4"/>
      <c r="R1440" s="5">
        <v>0</v>
      </c>
      <c r="S1440">
        <v>0</v>
      </c>
      <c r="T1440" t="b">
        <v>1</v>
      </c>
      <c r="U1440">
        <v>-1</v>
      </c>
      <c r="V1440" s="4">
        <v>186.44</v>
      </c>
    </row>
    <row r="1441" spans="1:22" x14ac:dyDescent="0.35">
      <c r="A1441" t="s">
        <v>28</v>
      </c>
      <c r="B1441">
        <v>4</v>
      </c>
      <c r="C1441">
        <v>5</v>
      </c>
      <c r="D1441">
        <v>10</v>
      </c>
      <c r="E1441" t="s">
        <v>29</v>
      </c>
      <c r="F1441">
        <v>200</v>
      </c>
      <c r="G1441">
        <v>3</v>
      </c>
      <c r="H1441">
        <v>20</v>
      </c>
      <c r="I1441" t="s">
        <v>26</v>
      </c>
      <c r="J1441" s="3">
        <v>720.92139899999995</v>
      </c>
      <c r="K1441" s="3">
        <v>22134.281999999999</v>
      </c>
      <c r="L1441" s="3">
        <v>22134.281999999999</v>
      </c>
      <c r="M1441" s="3">
        <v>22134.281999999999</v>
      </c>
      <c r="N1441" s="3">
        <v>22134.281999999999</v>
      </c>
      <c r="O1441" s="4">
        <v>0</v>
      </c>
      <c r="P1441" s="4">
        <v>0</v>
      </c>
      <c r="Q1441" s="4">
        <v>0</v>
      </c>
      <c r="R1441" s="5">
        <v>8.0000000000000004E-4</v>
      </c>
      <c r="S1441">
        <v>1</v>
      </c>
      <c r="T1441" t="b">
        <v>0</v>
      </c>
      <c r="U1441">
        <v>1</v>
      </c>
      <c r="V1441" s="4">
        <v>552.49</v>
      </c>
    </row>
    <row r="1442" spans="1:22" x14ac:dyDescent="0.35">
      <c r="A1442" t="s">
        <v>21</v>
      </c>
      <c r="B1442">
        <v>1</v>
      </c>
      <c r="C1442">
        <v>1</v>
      </c>
      <c r="D1442">
        <v>2</v>
      </c>
      <c r="E1442" t="s">
        <v>29</v>
      </c>
      <c r="F1442">
        <v>50</v>
      </c>
      <c r="G1442">
        <v>1</v>
      </c>
      <c r="H1442">
        <v>16</v>
      </c>
      <c r="I1442" t="s">
        <v>23</v>
      </c>
      <c r="J1442" s="3">
        <v>122.993847</v>
      </c>
      <c r="K1442" s="3" t="s">
        <v>24</v>
      </c>
      <c r="L1442" s="3" t="s">
        <v>24</v>
      </c>
      <c r="M1442" s="3" t="s">
        <v>24</v>
      </c>
      <c r="N1442" s="3">
        <v>12214.556</v>
      </c>
      <c r="O1442" s="4"/>
      <c r="P1442" s="4"/>
      <c r="Q1442" s="4"/>
      <c r="R1442" s="5">
        <v>0</v>
      </c>
      <c r="S1442">
        <v>0</v>
      </c>
      <c r="T1442" t="b">
        <v>1</v>
      </c>
      <c r="U1442">
        <v>-1</v>
      </c>
      <c r="V1442" s="4">
        <v>23.33</v>
      </c>
    </row>
    <row r="1443" spans="1:22" x14ac:dyDescent="0.35">
      <c r="A1443" t="s">
        <v>21</v>
      </c>
      <c r="B1443">
        <v>1</v>
      </c>
      <c r="C1443">
        <v>1</v>
      </c>
      <c r="D1443">
        <v>2</v>
      </c>
      <c r="E1443" t="s">
        <v>29</v>
      </c>
      <c r="F1443">
        <v>50</v>
      </c>
      <c r="G1443">
        <v>3</v>
      </c>
      <c r="H1443">
        <v>16</v>
      </c>
      <c r="I1443" t="s">
        <v>23</v>
      </c>
      <c r="J1443" s="3">
        <v>122.993847</v>
      </c>
      <c r="K1443" s="3" t="s">
        <v>24</v>
      </c>
      <c r="L1443" s="3" t="s">
        <v>24</v>
      </c>
      <c r="M1443" s="3" t="s">
        <v>24</v>
      </c>
      <c r="N1443" s="3">
        <v>12214.556</v>
      </c>
      <c r="O1443" s="4"/>
      <c r="P1443" s="4"/>
      <c r="Q1443" s="4"/>
      <c r="R1443" s="5">
        <v>0</v>
      </c>
      <c r="S1443">
        <v>0</v>
      </c>
      <c r="T1443" t="b">
        <v>1</v>
      </c>
      <c r="U1443">
        <v>-1</v>
      </c>
      <c r="V1443" s="4">
        <v>69.5</v>
      </c>
    </row>
    <row r="1444" spans="1:22" x14ac:dyDescent="0.35">
      <c r="A1444" t="s">
        <v>21</v>
      </c>
      <c r="B1444">
        <v>1</v>
      </c>
      <c r="C1444">
        <v>1</v>
      </c>
      <c r="D1444">
        <v>2</v>
      </c>
      <c r="E1444" t="s">
        <v>29</v>
      </c>
      <c r="F1444">
        <v>200</v>
      </c>
      <c r="G1444">
        <v>1</v>
      </c>
      <c r="H1444">
        <v>16</v>
      </c>
      <c r="I1444" t="s">
        <v>23</v>
      </c>
      <c r="J1444" s="3">
        <v>126.805004</v>
      </c>
      <c r="K1444" s="3">
        <v>13846.799000000001</v>
      </c>
      <c r="L1444" s="3">
        <v>13846.799000000001</v>
      </c>
      <c r="M1444" s="3">
        <v>13846.799000000001</v>
      </c>
      <c r="N1444" s="3">
        <v>12214.556</v>
      </c>
      <c r="O1444" s="4">
        <v>13.363099999999999</v>
      </c>
      <c r="P1444" s="4">
        <v>13.363099999999999</v>
      </c>
      <c r="Q1444" s="4">
        <v>13.363099999999999</v>
      </c>
      <c r="R1444" s="5">
        <v>1E-4</v>
      </c>
      <c r="S1444">
        <v>1</v>
      </c>
      <c r="T1444" t="b">
        <v>0</v>
      </c>
      <c r="U1444">
        <v>1</v>
      </c>
      <c r="V1444" s="4">
        <v>75.25</v>
      </c>
    </row>
    <row r="1445" spans="1:22" x14ac:dyDescent="0.35">
      <c r="A1445" t="s">
        <v>21</v>
      </c>
      <c r="B1445">
        <v>1</v>
      </c>
      <c r="C1445">
        <v>1</v>
      </c>
      <c r="D1445">
        <v>2</v>
      </c>
      <c r="E1445" t="s">
        <v>29</v>
      </c>
      <c r="F1445">
        <v>200</v>
      </c>
      <c r="G1445">
        <v>3</v>
      </c>
      <c r="H1445">
        <v>16</v>
      </c>
      <c r="I1445" t="s">
        <v>23</v>
      </c>
      <c r="J1445" s="3">
        <v>126.805004</v>
      </c>
      <c r="K1445" s="3">
        <v>13846.799000000001</v>
      </c>
      <c r="L1445" s="3">
        <v>13846.799000000001</v>
      </c>
      <c r="M1445" s="3">
        <v>13846.799000000001</v>
      </c>
      <c r="N1445" s="3">
        <v>12214.556</v>
      </c>
      <c r="O1445" s="4">
        <v>13.363099999999999</v>
      </c>
      <c r="P1445" s="4">
        <v>13.363099999999999</v>
      </c>
      <c r="Q1445" s="4">
        <v>13.363099999999999</v>
      </c>
      <c r="R1445" s="5">
        <v>1E-4</v>
      </c>
      <c r="S1445">
        <v>1</v>
      </c>
      <c r="T1445" t="b">
        <v>0</v>
      </c>
      <c r="U1445">
        <v>1</v>
      </c>
      <c r="V1445" s="4">
        <v>212.39</v>
      </c>
    </row>
    <row r="1446" spans="1:22" x14ac:dyDescent="0.35">
      <c r="A1446" t="s">
        <v>21</v>
      </c>
      <c r="B1446">
        <v>1</v>
      </c>
      <c r="C1446">
        <v>1</v>
      </c>
      <c r="D1446">
        <v>5</v>
      </c>
      <c r="E1446" t="s">
        <v>29</v>
      </c>
      <c r="F1446">
        <v>50</v>
      </c>
      <c r="G1446">
        <v>1</v>
      </c>
      <c r="H1446">
        <v>16</v>
      </c>
      <c r="I1446" t="s">
        <v>23</v>
      </c>
      <c r="J1446" s="3">
        <v>321.25283400000001</v>
      </c>
      <c r="K1446" s="3" t="s">
        <v>24</v>
      </c>
      <c r="L1446" s="3" t="s">
        <v>24</v>
      </c>
      <c r="M1446" s="3" t="s">
        <v>24</v>
      </c>
      <c r="N1446" s="3">
        <v>12214.556</v>
      </c>
      <c r="O1446" s="4"/>
      <c r="P1446" s="4"/>
      <c r="Q1446" s="4"/>
      <c r="R1446" s="5">
        <v>0</v>
      </c>
      <c r="S1446">
        <v>0</v>
      </c>
      <c r="T1446" t="b">
        <v>1</v>
      </c>
      <c r="U1446">
        <v>-1</v>
      </c>
      <c r="V1446" s="4">
        <v>24.71</v>
      </c>
    </row>
    <row r="1447" spans="1:22" x14ac:dyDescent="0.35">
      <c r="A1447" t="s">
        <v>21</v>
      </c>
      <c r="B1447">
        <v>1</v>
      </c>
      <c r="C1447">
        <v>1</v>
      </c>
      <c r="D1447">
        <v>5</v>
      </c>
      <c r="E1447" t="s">
        <v>29</v>
      </c>
      <c r="F1447">
        <v>50</v>
      </c>
      <c r="G1447">
        <v>3</v>
      </c>
      <c r="H1447">
        <v>16</v>
      </c>
      <c r="I1447" t="s">
        <v>23</v>
      </c>
      <c r="J1447" s="3">
        <v>313.39004199999999</v>
      </c>
      <c r="K1447" s="3">
        <v>12214.556</v>
      </c>
      <c r="L1447" s="3">
        <v>14242.717000000001</v>
      </c>
      <c r="M1447" s="3">
        <v>12214.556</v>
      </c>
      <c r="N1447" s="3">
        <v>12214.556</v>
      </c>
      <c r="O1447" s="4">
        <v>0</v>
      </c>
      <c r="P1447" s="4">
        <v>16.604500000000002</v>
      </c>
      <c r="Q1447" s="4">
        <v>0</v>
      </c>
      <c r="R1447" s="5">
        <v>5.7999999999999996E-3</v>
      </c>
      <c r="S1447">
        <v>20</v>
      </c>
      <c r="T1447" t="b">
        <v>0</v>
      </c>
      <c r="U1447">
        <v>7</v>
      </c>
      <c r="V1447" s="4">
        <v>75</v>
      </c>
    </row>
    <row r="1448" spans="1:22" x14ac:dyDescent="0.35">
      <c r="A1448" t="s">
        <v>21</v>
      </c>
      <c r="B1448">
        <v>1</v>
      </c>
      <c r="C1448">
        <v>1</v>
      </c>
      <c r="D1448">
        <v>5</v>
      </c>
      <c r="E1448" t="s">
        <v>29</v>
      </c>
      <c r="F1448">
        <v>200</v>
      </c>
      <c r="G1448">
        <v>1</v>
      </c>
      <c r="H1448">
        <v>16</v>
      </c>
      <c r="I1448" t="s">
        <v>23</v>
      </c>
      <c r="J1448" s="3">
        <v>328.17790400000001</v>
      </c>
      <c r="K1448" s="3">
        <v>13410.209000000001</v>
      </c>
      <c r="L1448" s="3">
        <v>13860.946</v>
      </c>
      <c r="M1448" s="3">
        <v>13410.209000000001</v>
      </c>
      <c r="N1448" s="3">
        <v>12214.556</v>
      </c>
      <c r="O1448" s="4">
        <v>9.7888000000000002</v>
      </c>
      <c r="P1448" s="4">
        <v>13.478899999999999</v>
      </c>
      <c r="Q1448" s="4">
        <v>9.7888000000000002</v>
      </c>
      <c r="R1448" s="5">
        <v>5.0000000000000001E-4</v>
      </c>
      <c r="S1448">
        <v>4</v>
      </c>
      <c r="T1448" t="b">
        <v>0</v>
      </c>
      <c r="U1448">
        <v>4</v>
      </c>
      <c r="V1448" s="4">
        <v>75.489999999999995</v>
      </c>
    </row>
    <row r="1449" spans="1:22" x14ac:dyDescent="0.35">
      <c r="A1449" t="s">
        <v>21</v>
      </c>
      <c r="B1449">
        <v>1</v>
      </c>
      <c r="C1449">
        <v>1</v>
      </c>
      <c r="D1449">
        <v>5</v>
      </c>
      <c r="E1449" t="s">
        <v>29</v>
      </c>
      <c r="F1449">
        <v>200</v>
      </c>
      <c r="G1449">
        <v>3</v>
      </c>
      <c r="H1449">
        <v>16</v>
      </c>
      <c r="I1449" t="s">
        <v>23</v>
      </c>
      <c r="J1449" s="3">
        <v>314.10035800000003</v>
      </c>
      <c r="K1449" s="3">
        <v>13410.209000000001</v>
      </c>
      <c r="L1449" s="3">
        <v>13424.356</v>
      </c>
      <c r="M1449" s="3">
        <v>12895.062</v>
      </c>
      <c r="N1449" s="3">
        <v>12214.556</v>
      </c>
      <c r="O1449" s="4">
        <v>9.7888000000000002</v>
      </c>
      <c r="P1449" s="4">
        <v>9.9046000000000003</v>
      </c>
      <c r="Q1449" s="4">
        <v>5.5712999999999999</v>
      </c>
      <c r="R1449" s="5">
        <v>4.1000000000000003E-3</v>
      </c>
      <c r="S1449">
        <v>19</v>
      </c>
      <c r="T1449" t="b">
        <v>0</v>
      </c>
      <c r="U1449">
        <v>18</v>
      </c>
      <c r="V1449" s="4">
        <v>223.83</v>
      </c>
    </row>
    <row r="1450" spans="1:22" x14ac:dyDescent="0.35">
      <c r="A1450" t="s">
        <v>21</v>
      </c>
      <c r="B1450">
        <v>1</v>
      </c>
      <c r="C1450">
        <v>1</v>
      </c>
      <c r="D1450">
        <v>10</v>
      </c>
      <c r="E1450" t="s">
        <v>29</v>
      </c>
      <c r="F1450">
        <v>50</v>
      </c>
      <c r="G1450">
        <v>1</v>
      </c>
      <c r="H1450">
        <v>16</v>
      </c>
      <c r="I1450" t="s">
        <v>23</v>
      </c>
      <c r="J1450" s="3">
        <v>653.24372700000004</v>
      </c>
      <c r="K1450" s="3">
        <v>12214.556</v>
      </c>
      <c r="L1450" s="3">
        <v>15056.599</v>
      </c>
      <c r="M1450" s="3">
        <v>12214.556</v>
      </c>
      <c r="N1450" s="3">
        <v>12214.556</v>
      </c>
      <c r="O1450" s="4">
        <v>0</v>
      </c>
      <c r="P1450" s="4">
        <v>23.267700000000001</v>
      </c>
      <c r="Q1450" s="4">
        <v>0</v>
      </c>
      <c r="R1450" s="5">
        <v>8.9999999999999998E-4</v>
      </c>
      <c r="S1450">
        <v>9</v>
      </c>
      <c r="T1450" t="b">
        <v>0</v>
      </c>
      <c r="U1450">
        <v>4</v>
      </c>
      <c r="V1450" s="4">
        <v>25.29</v>
      </c>
    </row>
    <row r="1451" spans="1:22" x14ac:dyDescent="0.35">
      <c r="A1451" t="s">
        <v>21</v>
      </c>
      <c r="B1451">
        <v>1</v>
      </c>
      <c r="C1451">
        <v>1</v>
      </c>
      <c r="D1451">
        <v>10</v>
      </c>
      <c r="E1451" t="s">
        <v>29</v>
      </c>
      <c r="F1451">
        <v>50</v>
      </c>
      <c r="G1451">
        <v>3</v>
      </c>
      <c r="H1451">
        <v>16</v>
      </c>
      <c r="I1451" t="s">
        <v>23</v>
      </c>
      <c r="J1451" s="3">
        <v>626.13360299999999</v>
      </c>
      <c r="K1451" s="3">
        <v>12214.556</v>
      </c>
      <c r="L1451" s="3">
        <v>12214.556</v>
      </c>
      <c r="M1451" s="3">
        <v>12214.556</v>
      </c>
      <c r="N1451" s="3">
        <v>12214.556</v>
      </c>
      <c r="O1451" s="4">
        <v>0</v>
      </c>
      <c r="P1451" s="4">
        <v>0</v>
      </c>
      <c r="Q1451" s="4">
        <v>0</v>
      </c>
      <c r="R1451" s="5">
        <v>1.5E-3</v>
      </c>
      <c r="S1451">
        <v>14</v>
      </c>
      <c r="T1451" t="b">
        <v>0</v>
      </c>
      <c r="U1451">
        <v>1</v>
      </c>
      <c r="V1451" s="4">
        <v>74.17</v>
      </c>
    </row>
    <row r="1452" spans="1:22" x14ac:dyDescent="0.35">
      <c r="A1452" t="s">
        <v>21</v>
      </c>
      <c r="B1452">
        <v>1</v>
      </c>
      <c r="C1452">
        <v>1</v>
      </c>
      <c r="D1452">
        <v>10</v>
      </c>
      <c r="E1452" t="s">
        <v>29</v>
      </c>
      <c r="F1452">
        <v>200</v>
      </c>
      <c r="G1452">
        <v>1</v>
      </c>
      <c r="H1452">
        <v>16</v>
      </c>
      <c r="I1452" t="s">
        <v>23</v>
      </c>
      <c r="J1452" s="3">
        <v>295.76390900000001</v>
      </c>
      <c r="K1452" s="3">
        <v>12214.556</v>
      </c>
      <c r="L1452" s="3">
        <v>13846.799000000001</v>
      </c>
      <c r="M1452" s="3">
        <v>12214.556</v>
      </c>
      <c r="N1452" s="3">
        <v>12214.556</v>
      </c>
      <c r="O1452" s="4">
        <v>0</v>
      </c>
      <c r="P1452" s="4">
        <v>13.363099999999999</v>
      </c>
      <c r="Q1452" s="4">
        <v>0</v>
      </c>
      <c r="R1452" s="5">
        <v>3.6499999999999998E-2</v>
      </c>
      <c r="S1452">
        <v>24</v>
      </c>
      <c r="T1452" t="b">
        <v>0</v>
      </c>
      <c r="U1452">
        <v>5</v>
      </c>
      <c r="V1452" s="4">
        <v>73.05</v>
      </c>
    </row>
    <row r="1453" spans="1:22" x14ac:dyDescent="0.35">
      <c r="A1453" t="s">
        <v>21</v>
      </c>
      <c r="B1453">
        <v>1</v>
      </c>
      <c r="C1453">
        <v>1</v>
      </c>
      <c r="D1453">
        <v>10</v>
      </c>
      <c r="E1453" t="s">
        <v>29</v>
      </c>
      <c r="F1453">
        <v>200</v>
      </c>
      <c r="G1453">
        <v>3</v>
      </c>
      <c r="H1453">
        <v>16</v>
      </c>
      <c r="I1453" t="s">
        <v>23</v>
      </c>
      <c r="J1453" s="3">
        <v>295.76390900000001</v>
      </c>
      <c r="K1453" s="3">
        <v>12214.556</v>
      </c>
      <c r="L1453" s="3">
        <v>13846.799000000001</v>
      </c>
      <c r="M1453" s="3">
        <v>12214.556</v>
      </c>
      <c r="N1453" s="3">
        <v>12214.556</v>
      </c>
      <c r="O1453" s="4">
        <v>0</v>
      </c>
      <c r="P1453" s="4">
        <v>13.363099999999999</v>
      </c>
      <c r="Q1453" s="4">
        <v>0</v>
      </c>
      <c r="R1453" s="5">
        <v>3.6499999999999998E-2</v>
      </c>
      <c r="S1453">
        <v>24</v>
      </c>
      <c r="T1453" t="b">
        <v>0</v>
      </c>
      <c r="U1453">
        <v>5</v>
      </c>
      <c r="V1453" s="4">
        <v>219.81</v>
      </c>
    </row>
    <row r="1454" spans="1:22" x14ac:dyDescent="0.35">
      <c r="A1454" t="s">
        <v>21</v>
      </c>
      <c r="B1454">
        <v>1</v>
      </c>
      <c r="C1454">
        <v>3</v>
      </c>
      <c r="D1454">
        <v>2</v>
      </c>
      <c r="E1454" t="s">
        <v>29</v>
      </c>
      <c r="F1454">
        <v>50</v>
      </c>
      <c r="G1454">
        <v>1</v>
      </c>
      <c r="H1454">
        <v>16</v>
      </c>
      <c r="I1454" t="s">
        <v>23</v>
      </c>
      <c r="J1454" s="3">
        <v>135.76655600000001</v>
      </c>
      <c r="K1454" s="3">
        <v>12214.556</v>
      </c>
      <c r="L1454" s="3">
        <v>13576.358</v>
      </c>
      <c r="M1454" s="3">
        <v>12214.556</v>
      </c>
      <c r="N1454" s="3">
        <v>12214.556</v>
      </c>
      <c r="O1454" s="4">
        <v>0</v>
      </c>
      <c r="P1454" s="4">
        <v>11.148999999999999</v>
      </c>
      <c r="Q1454" s="4">
        <v>0</v>
      </c>
      <c r="R1454" s="5">
        <v>6.9999999999999999E-4</v>
      </c>
      <c r="S1454">
        <v>7</v>
      </c>
      <c r="T1454" t="b">
        <v>0</v>
      </c>
      <c r="U1454">
        <v>2</v>
      </c>
      <c r="V1454" s="4">
        <v>30.2</v>
      </c>
    </row>
    <row r="1455" spans="1:22" x14ac:dyDescent="0.35">
      <c r="A1455" t="s">
        <v>21</v>
      </c>
      <c r="B1455">
        <v>1</v>
      </c>
      <c r="C1455">
        <v>3</v>
      </c>
      <c r="D1455">
        <v>2</v>
      </c>
      <c r="E1455" t="s">
        <v>29</v>
      </c>
      <c r="F1455">
        <v>50</v>
      </c>
      <c r="G1455">
        <v>3</v>
      </c>
      <c r="H1455">
        <v>16</v>
      </c>
      <c r="I1455" t="s">
        <v>23</v>
      </c>
      <c r="J1455" s="3">
        <v>57.137974999999997</v>
      </c>
      <c r="K1455" s="3">
        <v>12214.556</v>
      </c>
      <c r="L1455" s="3">
        <v>12214.556</v>
      </c>
      <c r="M1455" s="3">
        <v>12214.556</v>
      </c>
      <c r="N1455" s="3">
        <v>12214.556</v>
      </c>
      <c r="O1455" s="4">
        <v>0</v>
      </c>
      <c r="P1455" s="4">
        <v>0</v>
      </c>
      <c r="Q1455" s="4">
        <v>0</v>
      </c>
      <c r="R1455" s="5">
        <v>1.8E-3</v>
      </c>
      <c r="S1455">
        <v>8</v>
      </c>
      <c r="T1455" t="b">
        <v>0</v>
      </c>
      <c r="U1455">
        <v>2</v>
      </c>
      <c r="V1455" s="4">
        <v>88.22</v>
      </c>
    </row>
    <row r="1456" spans="1:22" x14ac:dyDescent="0.35">
      <c r="A1456" t="s">
        <v>21</v>
      </c>
      <c r="B1456">
        <v>1</v>
      </c>
      <c r="C1456">
        <v>3</v>
      </c>
      <c r="D1456">
        <v>2</v>
      </c>
      <c r="E1456" t="s">
        <v>29</v>
      </c>
      <c r="F1456">
        <v>200</v>
      </c>
      <c r="G1456">
        <v>1</v>
      </c>
      <c r="H1456">
        <v>16</v>
      </c>
      <c r="I1456" t="s">
        <v>23</v>
      </c>
      <c r="J1456" s="3">
        <v>120.373795</v>
      </c>
      <c r="K1456" s="3">
        <v>13424.356</v>
      </c>
      <c r="L1456" s="3">
        <v>13424.356</v>
      </c>
      <c r="M1456" s="3">
        <v>13424.356</v>
      </c>
      <c r="N1456" s="3">
        <v>12214.556</v>
      </c>
      <c r="O1456" s="4">
        <v>9.9046000000000003</v>
      </c>
      <c r="P1456" s="4">
        <v>9.9046000000000003</v>
      </c>
      <c r="Q1456" s="4">
        <v>9.9046000000000003</v>
      </c>
      <c r="R1456" s="5">
        <v>1E-4</v>
      </c>
      <c r="S1456">
        <v>1</v>
      </c>
      <c r="T1456" t="b">
        <v>0</v>
      </c>
      <c r="U1456">
        <v>1</v>
      </c>
      <c r="V1456" s="4">
        <v>88.84</v>
      </c>
    </row>
    <row r="1457" spans="1:22" x14ac:dyDescent="0.35">
      <c r="A1457" t="s">
        <v>21</v>
      </c>
      <c r="B1457">
        <v>1</v>
      </c>
      <c r="C1457">
        <v>3</v>
      </c>
      <c r="D1457">
        <v>2</v>
      </c>
      <c r="E1457" t="s">
        <v>29</v>
      </c>
      <c r="F1457">
        <v>200</v>
      </c>
      <c r="G1457">
        <v>3</v>
      </c>
      <c r="H1457">
        <v>16</v>
      </c>
      <c r="I1457" t="s">
        <v>23</v>
      </c>
      <c r="J1457" s="3">
        <v>51.920296999999998</v>
      </c>
      <c r="K1457" s="3">
        <v>12214.556</v>
      </c>
      <c r="L1457" s="3">
        <v>14376.093000000001</v>
      </c>
      <c r="M1457" s="3">
        <v>12214.556</v>
      </c>
      <c r="N1457" s="3">
        <v>12214.556</v>
      </c>
      <c r="O1457" s="4">
        <v>0</v>
      </c>
      <c r="P1457" s="4">
        <v>17.696400000000001</v>
      </c>
      <c r="Q1457" s="4">
        <v>0</v>
      </c>
      <c r="R1457" s="5">
        <v>8.9999999999999998E-4</v>
      </c>
      <c r="S1457">
        <v>8</v>
      </c>
      <c r="T1457" t="b">
        <v>0</v>
      </c>
      <c r="U1457">
        <v>3</v>
      </c>
      <c r="V1457" s="4">
        <v>253.32</v>
      </c>
    </row>
    <row r="1458" spans="1:22" x14ac:dyDescent="0.35">
      <c r="A1458" t="s">
        <v>21</v>
      </c>
      <c r="B1458">
        <v>1</v>
      </c>
      <c r="C1458">
        <v>3</v>
      </c>
      <c r="D1458">
        <v>5</v>
      </c>
      <c r="E1458" t="s">
        <v>29</v>
      </c>
      <c r="F1458">
        <v>50</v>
      </c>
      <c r="G1458">
        <v>1</v>
      </c>
      <c r="H1458">
        <v>16</v>
      </c>
      <c r="I1458" t="s">
        <v>23</v>
      </c>
      <c r="J1458" s="3">
        <v>308.20563600000003</v>
      </c>
      <c r="K1458" s="3">
        <v>12895.062</v>
      </c>
      <c r="L1458" s="3">
        <v>14376.093000000001</v>
      </c>
      <c r="M1458" s="3">
        <v>12895.062</v>
      </c>
      <c r="N1458" s="3">
        <v>12214.556</v>
      </c>
      <c r="O1458" s="4">
        <v>5.5712999999999999</v>
      </c>
      <c r="P1458" s="4">
        <v>17.696400000000001</v>
      </c>
      <c r="Q1458" s="4">
        <v>5.5712999999999999</v>
      </c>
      <c r="R1458" s="5">
        <v>1.8E-3</v>
      </c>
      <c r="S1458">
        <v>11</v>
      </c>
      <c r="T1458" t="b">
        <v>0</v>
      </c>
      <c r="U1458">
        <v>8</v>
      </c>
      <c r="V1458" s="4">
        <v>29.73</v>
      </c>
    </row>
    <row r="1459" spans="1:22" x14ac:dyDescent="0.35">
      <c r="A1459" t="s">
        <v>21</v>
      </c>
      <c r="B1459">
        <v>1</v>
      </c>
      <c r="C1459">
        <v>3</v>
      </c>
      <c r="D1459">
        <v>5</v>
      </c>
      <c r="E1459" t="s">
        <v>29</v>
      </c>
      <c r="F1459">
        <v>50</v>
      </c>
      <c r="G1459">
        <v>3</v>
      </c>
      <c r="H1459">
        <v>16</v>
      </c>
      <c r="I1459" t="s">
        <v>23</v>
      </c>
      <c r="J1459" s="3">
        <v>241.95039299999999</v>
      </c>
      <c r="K1459" s="3">
        <v>12214.556</v>
      </c>
      <c r="L1459" s="3">
        <v>12214.556</v>
      </c>
      <c r="M1459" s="3">
        <v>12214.556</v>
      </c>
      <c r="N1459" s="3">
        <v>12214.556</v>
      </c>
      <c r="O1459" s="4">
        <v>0</v>
      </c>
      <c r="P1459" s="4">
        <v>0</v>
      </c>
      <c r="Q1459" s="4">
        <v>0</v>
      </c>
      <c r="R1459" s="5">
        <v>1.2999999999999999E-3</v>
      </c>
      <c r="S1459">
        <v>11</v>
      </c>
      <c r="T1459" t="b">
        <v>0</v>
      </c>
      <c r="U1459">
        <v>1</v>
      </c>
      <c r="V1459" s="4">
        <v>88.22</v>
      </c>
    </row>
    <row r="1460" spans="1:22" x14ac:dyDescent="0.35">
      <c r="A1460" t="s">
        <v>21</v>
      </c>
      <c r="B1460">
        <v>1</v>
      </c>
      <c r="C1460">
        <v>3</v>
      </c>
      <c r="D1460">
        <v>5</v>
      </c>
      <c r="E1460" t="s">
        <v>29</v>
      </c>
      <c r="F1460">
        <v>200</v>
      </c>
      <c r="G1460">
        <v>1</v>
      </c>
      <c r="H1460">
        <v>16</v>
      </c>
      <c r="I1460" t="s">
        <v>23</v>
      </c>
      <c r="J1460" s="3">
        <v>310.49404700000002</v>
      </c>
      <c r="K1460" s="3">
        <v>13028.438</v>
      </c>
      <c r="L1460" s="3">
        <v>13576.358</v>
      </c>
      <c r="M1460" s="3">
        <v>13028.438</v>
      </c>
      <c r="N1460" s="3">
        <v>12214.556</v>
      </c>
      <c r="O1460" s="4">
        <v>6.6631999999999998</v>
      </c>
      <c r="P1460" s="4">
        <v>11.148999999999999</v>
      </c>
      <c r="Q1460" s="4">
        <v>6.6631999999999998</v>
      </c>
      <c r="R1460" s="5">
        <v>2.9999999999999997E-4</v>
      </c>
      <c r="S1460">
        <v>3</v>
      </c>
      <c r="T1460" t="b">
        <v>0</v>
      </c>
      <c r="U1460">
        <v>3</v>
      </c>
      <c r="V1460" s="4">
        <v>88.02</v>
      </c>
    </row>
    <row r="1461" spans="1:22" x14ac:dyDescent="0.35">
      <c r="A1461" t="s">
        <v>21</v>
      </c>
      <c r="B1461">
        <v>1</v>
      </c>
      <c r="C1461">
        <v>3</v>
      </c>
      <c r="D1461">
        <v>5</v>
      </c>
      <c r="E1461" t="s">
        <v>29</v>
      </c>
      <c r="F1461">
        <v>200</v>
      </c>
      <c r="G1461">
        <v>3</v>
      </c>
      <c r="H1461">
        <v>16</v>
      </c>
      <c r="I1461" t="s">
        <v>23</v>
      </c>
      <c r="J1461" s="3">
        <v>57.640152</v>
      </c>
      <c r="K1461" s="3">
        <v>12895.062</v>
      </c>
      <c r="L1461" s="3">
        <v>13424.356</v>
      </c>
      <c r="M1461" s="3">
        <v>12214.556</v>
      </c>
      <c r="N1461" s="3">
        <v>12214.556</v>
      </c>
      <c r="O1461" s="4">
        <v>5.5712999999999999</v>
      </c>
      <c r="P1461" s="4">
        <v>9.9046000000000003</v>
      </c>
      <c r="Q1461" s="4">
        <v>0</v>
      </c>
      <c r="R1461" s="5">
        <v>0.1094</v>
      </c>
      <c r="S1461">
        <v>24</v>
      </c>
      <c r="T1461" t="b">
        <v>0</v>
      </c>
      <c r="U1461">
        <v>12</v>
      </c>
      <c r="V1461" s="4">
        <v>250.48</v>
      </c>
    </row>
    <row r="1462" spans="1:22" x14ac:dyDescent="0.35">
      <c r="A1462" t="s">
        <v>21</v>
      </c>
      <c r="B1462">
        <v>1</v>
      </c>
      <c r="C1462">
        <v>3</v>
      </c>
      <c r="D1462">
        <v>10</v>
      </c>
      <c r="E1462" t="s">
        <v>29</v>
      </c>
      <c r="F1462">
        <v>50</v>
      </c>
      <c r="G1462">
        <v>1</v>
      </c>
      <c r="H1462">
        <v>16</v>
      </c>
      <c r="I1462" t="s">
        <v>23</v>
      </c>
      <c r="J1462" s="3">
        <v>627.80138899999997</v>
      </c>
      <c r="K1462" s="3">
        <v>13424.356</v>
      </c>
      <c r="L1462" s="3">
        <v>13424.356</v>
      </c>
      <c r="M1462" s="3">
        <v>13424.356</v>
      </c>
      <c r="N1462" s="3">
        <v>12214.556</v>
      </c>
      <c r="O1462" s="4">
        <v>9.9046000000000003</v>
      </c>
      <c r="P1462" s="4">
        <v>9.9046000000000003</v>
      </c>
      <c r="Q1462" s="4">
        <v>9.9046000000000003</v>
      </c>
      <c r="R1462" s="5">
        <v>2.9999999999999997E-4</v>
      </c>
      <c r="S1462">
        <v>3</v>
      </c>
      <c r="T1462" t="b">
        <v>0</v>
      </c>
      <c r="U1462">
        <v>1</v>
      </c>
      <c r="V1462" s="4">
        <v>30.51</v>
      </c>
    </row>
    <row r="1463" spans="1:22" x14ac:dyDescent="0.35">
      <c r="A1463" t="s">
        <v>21</v>
      </c>
      <c r="B1463">
        <v>1</v>
      </c>
      <c r="C1463">
        <v>3</v>
      </c>
      <c r="D1463">
        <v>10</v>
      </c>
      <c r="E1463" t="s">
        <v>29</v>
      </c>
      <c r="F1463">
        <v>50</v>
      </c>
      <c r="G1463">
        <v>3</v>
      </c>
      <c r="H1463">
        <v>16</v>
      </c>
      <c r="I1463" t="s">
        <v>23</v>
      </c>
      <c r="J1463" s="3">
        <v>154.31302500000001</v>
      </c>
      <c r="K1463" s="3">
        <v>12214.556</v>
      </c>
      <c r="L1463" s="3">
        <v>12214.556</v>
      </c>
      <c r="M1463" s="3">
        <v>12214.556</v>
      </c>
      <c r="N1463" s="3">
        <v>12214.556</v>
      </c>
      <c r="O1463" s="4">
        <v>0</v>
      </c>
      <c r="P1463" s="4">
        <v>0</v>
      </c>
      <c r="Q1463" s="4">
        <v>0</v>
      </c>
      <c r="R1463" s="5">
        <v>4.4299999999999999E-2</v>
      </c>
      <c r="S1463">
        <v>24</v>
      </c>
      <c r="T1463" t="b">
        <v>0</v>
      </c>
      <c r="U1463">
        <v>6</v>
      </c>
      <c r="V1463" s="4">
        <v>91.62</v>
      </c>
    </row>
    <row r="1464" spans="1:22" x14ac:dyDescent="0.35">
      <c r="A1464" t="s">
        <v>21</v>
      </c>
      <c r="B1464">
        <v>1</v>
      </c>
      <c r="C1464">
        <v>3</v>
      </c>
      <c r="D1464">
        <v>10</v>
      </c>
      <c r="E1464" t="s">
        <v>29</v>
      </c>
      <c r="F1464">
        <v>200</v>
      </c>
      <c r="G1464">
        <v>1</v>
      </c>
      <c r="H1464">
        <v>16</v>
      </c>
      <c r="I1464" t="s">
        <v>23</v>
      </c>
      <c r="J1464" s="3">
        <v>642.91826200000003</v>
      </c>
      <c r="K1464" s="3">
        <v>12214.556</v>
      </c>
      <c r="L1464" s="3">
        <v>15056.599</v>
      </c>
      <c r="M1464" s="3">
        <v>12214.556</v>
      </c>
      <c r="N1464" s="3">
        <v>12214.556</v>
      </c>
      <c r="O1464" s="4">
        <v>0</v>
      </c>
      <c r="P1464" s="4">
        <v>23.267700000000001</v>
      </c>
      <c r="Q1464" s="4">
        <v>0</v>
      </c>
      <c r="R1464" s="5">
        <v>1.1000000000000001E-3</v>
      </c>
      <c r="S1464">
        <v>10</v>
      </c>
      <c r="T1464" t="b">
        <v>0</v>
      </c>
      <c r="U1464">
        <v>5</v>
      </c>
      <c r="V1464" s="4">
        <v>89.44</v>
      </c>
    </row>
    <row r="1465" spans="1:22" x14ac:dyDescent="0.35">
      <c r="A1465" t="s">
        <v>21</v>
      </c>
      <c r="B1465">
        <v>1</v>
      </c>
      <c r="C1465">
        <v>3</v>
      </c>
      <c r="D1465">
        <v>10</v>
      </c>
      <c r="E1465" t="s">
        <v>29</v>
      </c>
      <c r="F1465">
        <v>200</v>
      </c>
      <c r="G1465">
        <v>3</v>
      </c>
      <c r="H1465">
        <v>16</v>
      </c>
      <c r="I1465" t="s">
        <v>23</v>
      </c>
      <c r="J1465" s="3">
        <v>267.31632500000001</v>
      </c>
      <c r="K1465" s="3">
        <v>12214.556</v>
      </c>
      <c r="L1465" s="3">
        <v>13694.797</v>
      </c>
      <c r="M1465" s="3">
        <v>12214.556</v>
      </c>
      <c r="N1465" s="3">
        <v>12214.556</v>
      </c>
      <c r="O1465" s="4">
        <v>0</v>
      </c>
      <c r="P1465" s="4">
        <v>12.1187</v>
      </c>
      <c r="Q1465" s="4">
        <v>0</v>
      </c>
      <c r="R1465" s="5">
        <v>3.7100000000000001E-2</v>
      </c>
      <c r="S1465">
        <v>24</v>
      </c>
      <c r="T1465" t="b">
        <v>0</v>
      </c>
      <c r="U1465">
        <v>9</v>
      </c>
      <c r="V1465" s="4">
        <v>267.56</v>
      </c>
    </row>
    <row r="1466" spans="1:22" x14ac:dyDescent="0.35">
      <c r="A1466" t="s">
        <v>21</v>
      </c>
      <c r="B1466">
        <v>2</v>
      </c>
      <c r="C1466">
        <v>1</v>
      </c>
      <c r="D1466">
        <v>2</v>
      </c>
      <c r="E1466" t="s">
        <v>29</v>
      </c>
      <c r="F1466">
        <v>50</v>
      </c>
      <c r="G1466">
        <v>1</v>
      </c>
      <c r="H1466">
        <v>20</v>
      </c>
      <c r="I1466" t="s">
        <v>26</v>
      </c>
      <c r="J1466" s="3">
        <v>150.39246299999999</v>
      </c>
      <c r="K1466" s="3">
        <v>16094.296</v>
      </c>
      <c r="L1466" s="3">
        <v>16094.296</v>
      </c>
      <c r="M1466" s="3">
        <v>16094.296</v>
      </c>
      <c r="N1466" s="3">
        <v>15143.349</v>
      </c>
      <c r="O1466" s="4">
        <v>6.2796000000000003</v>
      </c>
      <c r="P1466" s="4">
        <v>6.2796000000000003</v>
      </c>
      <c r="Q1466" s="4">
        <v>6.2796000000000003</v>
      </c>
      <c r="R1466" s="5">
        <v>1E-4</v>
      </c>
      <c r="S1466">
        <v>1</v>
      </c>
      <c r="T1466" t="b">
        <v>0</v>
      </c>
      <c r="U1466">
        <v>1</v>
      </c>
      <c r="V1466" s="4">
        <v>29.1</v>
      </c>
    </row>
    <row r="1467" spans="1:22" x14ac:dyDescent="0.35">
      <c r="A1467" t="s">
        <v>21</v>
      </c>
      <c r="B1467">
        <v>2</v>
      </c>
      <c r="C1467">
        <v>1</v>
      </c>
      <c r="D1467">
        <v>2</v>
      </c>
      <c r="E1467" t="s">
        <v>29</v>
      </c>
      <c r="F1467">
        <v>50</v>
      </c>
      <c r="G1467">
        <v>3</v>
      </c>
      <c r="H1467">
        <v>20</v>
      </c>
      <c r="I1467" t="s">
        <v>26</v>
      </c>
      <c r="J1467" s="3">
        <v>150.39246299999999</v>
      </c>
      <c r="K1467" s="3">
        <v>16094.296</v>
      </c>
      <c r="L1467" s="3">
        <v>16094.296</v>
      </c>
      <c r="M1467" s="3">
        <v>16094.296</v>
      </c>
      <c r="N1467" s="3">
        <v>15143.349</v>
      </c>
      <c r="O1467" s="4">
        <v>6.2796000000000003</v>
      </c>
      <c r="P1467" s="4">
        <v>6.2796000000000003</v>
      </c>
      <c r="Q1467" s="4">
        <v>6.2796000000000003</v>
      </c>
      <c r="R1467" s="5">
        <v>1E-4</v>
      </c>
      <c r="S1467">
        <v>1</v>
      </c>
      <c r="T1467" t="b">
        <v>0</v>
      </c>
      <c r="U1467">
        <v>1</v>
      </c>
      <c r="V1467" s="4">
        <v>85.9</v>
      </c>
    </row>
    <row r="1468" spans="1:22" x14ac:dyDescent="0.35">
      <c r="A1468" t="s">
        <v>21</v>
      </c>
      <c r="B1468">
        <v>2</v>
      </c>
      <c r="C1468">
        <v>1</v>
      </c>
      <c r="D1468">
        <v>2</v>
      </c>
      <c r="E1468" t="s">
        <v>29</v>
      </c>
      <c r="F1468">
        <v>200</v>
      </c>
      <c r="G1468">
        <v>1</v>
      </c>
      <c r="H1468">
        <v>20</v>
      </c>
      <c r="I1468" t="s">
        <v>26</v>
      </c>
      <c r="J1468" s="3">
        <v>147.284391</v>
      </c>
      <c r="K1468" s="3">
        <v>15413.79</v>
      </c>
      <c r="L1468" s="3">
        <v>17456.098000000002</v>
      </c>
      <c r="M1468" s="3">
        <v>15413.79</v>
      </c>
      <c r="N1468" s="3">
        <v>15143.349</v>
      </c>
      <c r="O1468" s="4">
        <v>1.7859</v>
      </c>
      <c r="P1468" s="4">
        <v>15.272399999999999</v>
      </c>
      <c r="Q1468" s="4">
        <v>1.7859</v>
      </c>
      <c r="R1468" s="5">
        <v>2.9999999999999997E-4</v>
      </c>
      <c r="S1468">
        <v>3</v>
      </c>
      <c r="T1468" t="b">
        <v>0</v>
      </c>
      <c r="U1468">
        <v>3</v>
      </c>
      <c r="V1468" s="4">
        <v>87</v>
      </c>
    </row>
    <row r="1469" spans="1:22" x14ac:dyDescent="0.35">
      <c r="A1469" t="s">
        <v>21</v>
      </c>
      <c r="B1469">
        <v>2</v>
      </c>
      <c r="C1469">
        <v>1</v>
      </c>
      <c r="D1469">
        <v>2</v>
      </c>
      <c r="E1469" t="s">
        <v>29</v>
      </c>
      <c r="F1469">
        <v>200</v>
      </c>
      <c r="G1469">
        <v>3</v>
      </c>
      <c r="H1469">
        <v>20</v>
      </c>
      <c r="I1469" t="s">
        <v>26</v>
      </c>
      <c r="J1469" s="3">
        <v>147.284391</v>
      </c>
      <c r="K1469" s="3">
        <v>15413.79</v>
      </c>
      <c r="L1469" s="3">
        <v>17456.098000000002</v>
      </c>
      <c r="M1469" s="3">
        <v>15413.79</v>
      </c>
      <c r="N1469" s="3">
        <v>15143.349</v>
      </c>
      <c r="O1469" s="4">
        <v>1.7859</v>
      </c>
      <c r="P1469" s="4">
        <v>15.272399999999999</v>
      </c>
      <c r="Q1469" s="4">
        <v>1.7859</v>
      </c>
      <c r="R1469" s="5">
        <v>2.9999999999999997E-4</v>
      </c>
      <c r="S1469">
        <v>3</v>
      </c>
      <c r="T1469" t="b">
        <v>0</v>
      </c>
      <c r="U1469">
        <v>3</v>
      </c>
      <c r="V1469" s="4">
        <v>256.82</v>
      </c>
    </row>
    <row r="1470" spans="1:22" x14ac:dyDescent="0.35">
      <c r="A1470" t="s">
        <v>21</v>
      </c>
      <c r="B1470">
        <v>2</v>
      </c>
      <c r="C1470">
        <v>1</v>
      </c>
      <c r="D1470">
        <v>5</v>
      </c>
      <c r="E1470" t="s">
        <v>29</v>
      </c>
      <c r="F1470">
        <v>50</v>
      </c>
      <c r="G1470">
        <v>1</v>
      </c>
      <c r="H1470">
        <v>20</v>
      </c>
      <c r="I1470" t="s">
        <v>26</v>
      </c>
      <c r="J1470" s="3">
        <v>363.71322400000003</v>
      </c>
      <c r="K1470" s="3">
        <v>16094.296</v>
      </c>
      <c r="L1470" s="3">
        <v>16227.672</v>
      </c>
      <c r="M1470" s="3">
        <v>16094.296</v>
      </c>
      <c r="N1470" s="3">
        <v>15143.349</v>
      </c>
      <c r="O1470" s="4">
        <v>6.2796000000000003</v>
      </c>
      <c r="P1470" s="4">
        <v>7.1604000000000001</v>
      </c>
      <c r="Q1470" s="4">
        <v>6.2796000000000003</v>
      </c>
      <c r="R1470" s="5">
        <v>2.0000000000000001E-4</v>
      </c>
      <c r="S1470">
        <v>2</v>
      </c>
      <c r="T1470" t="b">
        <v>0</v>
      </c>
      <c r="U1470">
        <v>2</v>
      </c>
      <c r="V1470" s="4">
        <v>29.48</v>
      </c>
    </row>
    <row r="1471" spans="1:22" x14ac:dyDescent="0.35">
      <c r="A1471" t="s">
        <v>21</v>
      </c>
      <c r="B1471">
        <v>2</v>
      </c>
      <c r="C1471">
        <v>1</v>
      </c>
      <c r="D1471">
        <v>5</v>
      </c>
      <c r="E1471" t="s">
        <v>29</v>
      </c>
      <c r="F1471">
        <v>50</v>
      </c>
      <c r="G1471">
        <v>3</v>
      </c>
      <c r="H1471">
        <v>20</v>
      </c>
      <c r="I1471" t="s">
        <v>26</v>
      </c>
      <c r="J1471" s="3">
        <v>363.71322400000003</v>
      </c>
      <c r="K1471" s="3">
        <v>16094.296</v>
      </c>
      <c r="L1471" s="3">
        <v>16227.672</v>
      </c>
      <c r="M1471" s="3">
        <v>16094.296</v>
      </c>
      <c r="N1471" s="3">
        <v>15143.349</v>
      </c>
      <c r="O1471" s="4">
        <v>6.2796000000000003</v>
      </c>
      <c r="P1471" s="4">
        <v>7.1604000000000001</v>
      </c>
      <c r="Q1471" s="4">
        <v>6.2796000000000003</v>
      </c>
      <c r="R1471" s="5">
        <v>2.0000000000000001E-4</v>
      </c>
      <c r="S1471">
        <v>2</v>
      </c>
      <c r="T1471" t="b">
        <v>0</v>
      </c>
      <c r="U1471">
        <v>2</v>
      </c>
      <c r="V1471" s="4">
        <v>85.5</v>
      </c>
    </row>
    <row r="1472" spans="1:22" x14ac:dyDescent="0.35">
      <c r="A1472" t="s">
        <v>21</v>
      </c>
      <c r="B1472">
        <v>2</v>
      </c>
      <c r="C1472">
        <v>1</v>
      </c>
      <c r="D1472">
        <v>5</v>
      </c>
      <c r="E1472" t="s">
        <v>29</v>
      </c>
      <c r="F1472">
        <v>200</v>
      </c>
      <c r="G1472">
        <v>1</v>
      </c>
      <c r="H1472">
        <v>20</v>
      </c>
      <c r="I1472" t="s">
        <v>26</v>
      </c>
      <c r="J1472" s="3">
        <v>115.433261</v>
      </c>
      <c r="K1472" s="3">
        <v>15143.349</v>
      </c>
      <c r="L1472" s="3">
        <v>16094.296</v>
      </c>
      <c r="M1472" s="3">
        <v>15143.349</v>
      </c>
      <c r="N1472" s="3">
        <v>15143.349</v>
      </c>
      <c r="O1472" s="4">
        <v>0</v>
      </c>
      <c r="P1472" s="4">
        <v>6.2796000000000003</v>
      </c>
      <c r="Q1472" s="4">
        <v>0</v>
      </c>
      <c r="R1472" s="5">
        <v>8.8000000000000005E-3</v>
      </c>
      <c r="S1472">
        <v>32</v>
      </c>
      <c r="T1472" t="b">
        <v>0</v>
      </c>
      <c r="U1472">
        <v>7</v>
      </c>
      <c r="V1472" s="4">
        <v>84.76</v>
      </c>
    </row>
    <row r="1473" spans="1:22" x14ac:dyDescent="0.35">
      <c r="A1473" t="s">
        <v>21</v>
      </c>
      <c r="B1473">
        <v>2</v>
      </c>
      <c r="C1473">
        <v>1</v>
      </c>
      <c r="D1473">
        <v>5</v>
      </c>
      <c r="E1473" t="s">
        <v>29</v>
      </c>
      <c r="F1473">
        <v>200</v>
      </c>
      <c r="G1473">
        <v>3</v>
      </c>
      <c r="H1473">
        <v>20</v>
      </c>
      <c r="I1473" t="s">
        <v>26</v>
      </c>
      <c r="J1473" s="3">
        <v>115.433261</v>
      </c>
      <c r="K1473" s="3">
        <v>15143.349</v>
      </c>
      <c r="L1473" s="3">
        <v>16094.296</v>
      </c>
      <c r="M1473" s="3">
        <v>15143.349</v>
      </c>
      <c r="N1473" s="3">
        <v>15143.349</v>
      </c>
      <c r="O1473" s="4">
        <v>0</v>
      </c>
      <c r="P1473" s="4">
        <v>6.2796000000000003</v>
      </c>
      <c r="Q1473" s="4">
        <v>0</v>
      </c>
      <c r="R1473" s="5">
        <v>8.8000000000000005E-3</v>
      </c>
      <c r="S1473">
        <v>32</v>
      </c>
      <c r="T1473" t="b">
        <v>0</v>
      </c>
      <c r="U1473">
        <v>7</v>
      </c>
      <c r="V1473" s="4">
        <v>254.46</v>
      </c>
    </row>
    <row r="1474" spans="1:22" x14ac:dyDescent="0.35">
      <c r="A1474" t="s">
        <v>21</v>
      </c>
      <c r="B1474">
        <v>2</v>
      </c>
      <c r="C1474">
        <v>1</v>
      </c>
      <c r="D1474">
        <v>10</v>
      </c>
      <c r="E1474" t="s">
        <v>29</v>
      </c>
      <c r="F1474">
        <v>50</v>
      </c>
      <c r="G1474">
        <v>1</v>
      </c>
      <c r="H1474">
        <v>20</v>
      </c>
      <c r="I1474" t="s">
        <v>26</v>
      </c>
      <c r="J1474" s="3">
        <v>713.35375299999998</v>
      </c>
      <c r="K1474" s="3" t="s">
        <v>24</v>
      </c>
      <c r="L1474" s="3" t="s">
        <v>24</v>
      </c>
      <c r="M1474" s="3" t="s">
        <v>24</v>
      </c>
      <c r="N1474" s="3">
        <v>15143.349</v>
      </c>
      <c r="O1474" s="4"/>
      <c r="P1474" s="4"/>
      <c r="Q1474" s="4"/>
      <c r="R1474" s="5">
        <v>0</v>
      </c>
      <c r="S1474">
        <v>0</v>
      </c>
      <c r="T1474" t="b">
        <v>1</v>
      </c>
      <c r="U1474">
        <v>-1</v>
      </c>
      <c r="V1474" s="4">
        <v>29.5</v>
      </c>
    </row>
    <row r="1475" spans="1:22" x14ac:dyDescent="0.35">
      <c r="A1475" t="s">
        <v>21</v>
      </c>
      <c r="B1475">
        <v>2</v>
      </c>
      <c r="C1475">
        <v>1</v>
      </c>
      <c r="D1475">
        <v>10</v>
      </c>
      <c r="E1475" t="s">
        <v>29</v>
      </c>
      <c r="F1475">
        <v>50</v>
      </c>
      <c r="G1475">
        <v>3</v>
      </c>
      <c r="H1475">
        <v>20</v>
      </c>
      <c r="I1475" t="s">
        <v>26</v>
      </c>
      <c r="J1475" s="3">
        <v>479.88435700000002</v>
      </c>
      <c r="K1475" s="3" t="s">
        <v>24</v>
      </c>
      <c r="L1475" s="3" t="s">
        <v>24</v>
      </c>
      <c r="M1475" s="3" t="s">
        <v>24</v>
      </c>
      <c r="N1475" s="3">
        <v>15143.349</v>
      </c>
      <c r="O1475" s="4"/>
      <c r="P1475" s="4"/>
      <c r="Q1475" s="4"/>
      <c r="R1475" s="5">
        <v>0</v>
      </c>
      <c r="S1475">
        <v>0</v>
      </c>
      <c r="T1475" t="b">
        <v>1</v>
      </c>
      <c r="U1475">
        <v>-1</v>
      </c>
      <c r="V1475" s="4">
        <v>85.38</v>
      </c>
    </row>
    <row r="1476" spans="1:22" x14ac:dyDescent="0.35">
      <c r="A1476" t="s">
        <v>21</v>
      </c>
      <c r="B1476">
        <v>2</v>
      </c>
      <c r="C1476">
        <v>1</v>
      </c>
      <c r="D1476">
        <v>10</v>
      </c>
      <c r="E1476" t="s">
        <v>29</v>
      </c>
      <c r="F1476">
        <v>200</v>
      </c>
      <c r="G1476">
        <v>1</v>
      </c>
      <c r="H1476">
        <v>20</v>
      </c>
      <c r="I1476" t="s">
        <v>26</v>
      </c>
      <c r="J1476" s="3">
        <v>481.960801</v>
      </c>
      <c r="K1476" s="3">
        <v>16623.59</v>
      </c>
      <c r="L1476" s="3">
        <v>16623.59</v>
      </c>
      <c r="M1476" s="3">
        <v>16623.59</v>
      </c>
      <c r="N1476" s="3">
        <v>15143.349</v>
      </c>
      <c r="O1476" s="4">
        <v>9.7749000000000006</v>
      </c>
      <c r="P1476" s="4">
        <v>9.7749000000000006</v>
      </c>
      <c r="Q1476" s="4">
        <v>9.7749000000000006</v>
      </c>
      <c r="R1476" s="5">
        <v>1E-4</v>
      </c>
      <c r="S1476">
        <v>1</v>
      </c>
      <c r="T1476" t="b">
        <v>0</v>
      </c>
      <c r="U1476">
        <v>1</v>
      </c>
      <c r="V1476" s="4">
        <v>84.85</v>
      </c>
    </row>
    <row r="1477" spans="1:22" x14ac:dyDescent="0.35">
      <c r="A1477" t="s">
        <v>21</v>
      </c>
      <c r="B1477">
        <v>2</v>
      </c>
      <c r="C1477">
        <v>1</v>
      </c>
      <c r="D1477">
        <v>10</v>
      </c>
      <c r="E1477" t="s">
        <v>29</v>
      </c>
      <c r="F1477">
        <v>200</v>
      </c>
      <c r="G1477">
        <v>3</v>
      </c>
      <c r="H1477">
        <v>20</v>
      </c>
      <c r="I1477" t="s">
        <v>26</v>
      </c>
      <c r="J1477" s="3">
        <v>481.960801</v>
      </c>
      <c r="K1477" s="3">
        <v>16623.59</v>
      </c>
      <c r="L1477" s="3">
        <v>16623.59</v>
      </c>
      <c r="M1477" s="3">
        <v>16623.59</v>
      </c>
      <c r="N1477" s="3">
        <v>15143.349</v>
      </c>
      <c r="O1477" s="4">
        <v>9.7749000000000006</v>
      </c>
      <c r="P1477" s="4">
        <v>9.7749000000000006</v>
      </c>
      <c r="Q1477" s="4">
        <v>9.7749000000000006</v>
      </c>
      <c r="R1477" s="5">
        <v>1E-4</v>
      </c>
      <c r="S1477">
        <v>1</v>
      </c>
      <c r="T1477" t="b">
        <v>0</v>
      </c>
      <c r="U1477">
        <v>1</v>
      </c>
      <c r="V1477" s="4">
        <v>255.22</v>
      </c>
    </row>
    <row r="1478" spans="1:22" x14ac:dyDescent="0.35">
      <c r="A1478" t="s">
        <v>21</v>
      </c>
      <c r="B1478">
        <v>2</v>
      </c>
      <c r="C1478">
        <v>3</v>
      </c>
      <c r="D1478">
        <v>2</v>
      </c>
      <c r="E1478" t="s">
        <v>29</v>
      </c>
      <c r="F1478">
        <v>50</v>
      </c>
      <c r="G1478">
        <v>1</v>
      </c>
      <c r="H1478">
        <v>20</v>
      </c>
      <c r="I1478" t="s">
        <v>26</v>
      </c>
      <c r="J1478" s="3">
        <v>151.82199</v>
      </c>
      <c r="K1478" s="3">
        <v>17060.18</v>
      </c>
      <c r="L1478" s="3">
        <v>17060.18</v>
      </c>
      <c r="M1478" s="3">
        <v>17060.18</v>
      </c>
      <c r="N1478" s="3">
        <v>15143.349</v>
      </c>
      <c r="O1478" s="4">
        <v>12.6579</v>
      </c>
      <c r="P1478" s="4">
        <v>12.6579</v>
      </c>
      <c r="Q1478" s="4">
        <v>12.6579</v>
      </c>
      <c r="R1478" s="5">
        <v>1E-4</v>
      </c>
      <c r="S1478">
        <v>1</v>
      </c>
      <c r="T1478" t="b">
        <v>0</v>
      </c>
      <c r="U1478">
        <v>1</v>
      </c>
      <c r="V1478" s="4">
        <v>44.79</v>
      </c>
    </row>
    <row r="1479" spans="1:22" x14ac:dyDescent="0.35">
      <c r="A1479" t="s">
        <v>21</v>
      </c>
      <c r="B1479">
        <v>2</v>
      </c>
      <c r="C1479">
        <v>3</v>
      </c>
      <c r="D1479">
        <v>2</v>
      </c>
      <c r="E1479" t="s">
        <v>29</v>
      </c>
      <c r="F1479">
        <v>50</v>
      </c>
      <c r="G1479">
        <v>3</v>
      </c>
      <c r="H1479">
        <v>20</v>
      </c>
      <c r="I1479" t="s">
        <v>26</v>
      </c>
      <c r="J1479" s="3">
        <v>146.59424200000001</v>
      </c>
      <c r="K1479" s="3" t="s">
        <v>24</v>
      </c>
      <c r="L1479" s="3" t="s">
        <v>24</v>
      </c>
      <c r="M1479" s="3" t="s">
        <v>24</v>
      </c>
      <c r="N1479" s="3">
        <v>15143.349</v>
      </c>
      <c r="O1479" s="4"/>
      <c r="P1479" s="4"/>
      <c r="Q1479" s="4"/>
      <c r="R1479" s="5">
        <v>0</v>
      </c>
      <c r="S1479">
        <v>0</v>
      </c>
      <c r="T1479" t="b">
        <v>1</v>
      </c>
      <c r="U1479">
        <v>-1</v>
      </c>
      <c r="V1479" s="4">
        <v>132.18</v>
      </c>
    </row>
    <row r="1480" spans="1:22" x14ac:dyDescent="0.35">
      <c r="A1480" t="s">
        <v>21</v>
      </c>
      <c r="B1480">
        <v>2</v>
      </c>
      <c r="C1480">
        <v>3</v>
      </c>
      <c r="D1480">
        <v>2</v>
      </c>
      <c r="E1480" t="s">
        <v>29</v>
      </c>
      <c r="F1480">
        <v>200</v>
      </c>
      <c r="G1480">
        <v>1</v>
      </c>
      <c r="H1480">
        <v>20</v>
      </c>
      <c r="I1480" t="s">
        <v>26</v>
      </c>
      <c r="J1480" s="3">
        <v>146.51427100000001</v>
      </c>
      <c r="K1480" s="3" t="s">
        <v>24</v>
      </c>
      <c r="L1480" s="3" t="s">
        <v>24</v>
      </c>
      <c r="M1480" s="3" t="s">
        <v>24</v>
      </c>
      <c r="N1480" s="3">
        <v>15143.349</v>
      </c>
      <c r="O1480" s="4"/>
      <c r="P1480" s="4"/>
      <c r="Q1480" s="4"/>
      <c r="R1480" s="5">
        <v>0</v>
      </c>
      <c r="S1480">
        <v>0</v>
      </c>
      <c r="T1480" t="b">
        <v>1</v>
      </c>
      <c r="U1480">
        <v>-1</v>
      </c>
      <c r="V1480" s="4">
        <v>133.49</v>
      </c>
    </row>
    <row r="1481" spans="1:22" x14ac:dyDescent="0.35">
      <c r="A1481" t="s">
        <v>21</v>
      </c>
      <c r="B1481">
        <v>2</v>
      </c>
      <c r="C1481">
        <v>3</v>
      </c>
      <c r="D1481">
        <v>2</v>
      </c>
      <c r="E1481" t="s">
        <v>29</v>
      </c>
      <c r="F1481">
        <v>200</v>
      </c>
      <c r="G1481">
        <v>3</v>
      </c>
      <c r="H1481">
        <v>20</v>
      </c>
      <c r="I1481" t="s">
        <v>26</v>
      </c>
      <c r="J1481" s="3">
        <v>43.343843</v>
      </c>
      <c r="K1481" s="3">
        <v>15143.349</v>
      </c>
      <c r="L1481" s="3">
        <v>15957.231</v>
      </c>
      <c r="M1481" s="3">
        <v>15143.349</v>
      </c>
      <c r="N1481" s="3">
        <v>15143.349</v>
      </c>
      <c r="O1481" s="4">
        <v>0</v>
      </c>
      <c r="P1481" s="4">
        <v>5.3745000000000003</v>
      </c>
      <c r="Q1481" s="4">
        <v>0</v>
      </c>
      <c r="R1481" s="5">
        <v>1.7899999999999999E-2</v>
      </c>
      <c r="S1481">
        <v>36</v>
      </c>
      <c r="T1481" t="b">
        <v>0</v>
      </c>
      <c r="U1481">
        <v>6</v>
      </c>
      <c r="V1481" s="4">
        <v>393.91</v>
      </c>
    </row>
    <row r="1482" spans="1:22" x14ac:dyDescent="0.35">
      <c r="A1482" t="s">
        <v>21</v>
      </c>
      <c r="B1482">
        <v>2</v>
      </c>
      <c r="C1482">
        <v>3</v>
      </c>
      <c r="D1482">
        <v>5</v>
      </c>
      <c r="E1482" t="s">
        <v>29</v>
      </c>
      <c r="F1482">
        <v>50</v>
      </c>
      <c r="G1482">
        <v>1</v>
      </c>
      <c r="H1482">
        <v>20</v>
      </c>
      <c r="I1482" t="s">
        <v>26</v>
      </c>
      <c r="J1482" s="3">
        <v>679.70172700000001</v>
      </c>
      <c r="K1482" s="3" t="s">
        <v>24</v>
      </c>
      <c r="L1482" s="3" t="s">
        <v>24</v>
      </c>
      <c r="M1482" s="3" t="s">
        <v>24</v>
      </c>
      <c r="N1482" s="3">
        <v>15143.349</v>
      </c>
      <c r="O1482" s="4"/>
      <c r="P1482" s="4"/>
      <c r="Q1482" s="4"/>
      <c r="R1482" s="5">
        <v>0</v>
      </c>
      <c r="S1482">
        <v>0</v>
      </c>
      <c r="T1482" t="b">
        <v>1</v>
      </c>
      <c r="U1482">
        <v>-1</v>
      </c>
      <c r="V1482" s="4">
        <v>44.87</v>
      </c>
    </row>
    <row r="1483" spans="1:22" x14ac:dyDescent="0.35">
      <c r="A1483" t="s">
        <v>21</v>
      </c>
      <c r="B1483">
        <v>2</v>
      </c>
      <c r="C1483">
        <v>3</v>
      </c>
      <c r="D1483">
        <v>5</v>
      </c>
      <c r="E1483" t="s">
        <v>29</v>
      </c>
      <c r="F1483">
        <v>50</v>
      </c>
      <c r="G1483">
        <v>3</v>
      </c>
      <c r="H1483">
        <v>20</v>
      </c>
      <c r="I1483" t="s">
        <v>26</v>
      </c>
      <c r="J1483" s="3">
        <v>336.52329700000001</v>
      </c>
      <c r="K1483" s="3" t="s">
        <v>24</v>
      </c>
      <c r="L1483" s="3" t="s">
        <v>24</v>
      </c>
      <c r="M1483" s="3" t="s">
        <v>24</v>
      </c>
      <c r="N1483" s="3">
        <v>15143.349</v>
      </c>
      <c r="O1483" s="4"/>
      <c r="P1483" s="4"/>
      <c r="Q1483" s="4"/>
      <c r="R1483" s="5">
        <v>0</v>
      </c>
      <c r="S1483">
        <v>0</v>
      </c>
      <c r="T1483" t="b">
        <v>1</v>
      </c>
      <c r="U1483">
        <v>-1</v>
      </c>
      <c r="V1483" s="4">
        <v>133.29</v>
      </c>
    </row>
    <row r="1484" spans="1:22" x14ac:dyDescent="0.35">
      <c r="A1484" t="s">
        <v>21</v>
      </c>
      <c r="B1484">
        <v>2</v>
      </c>
      <c r="C1484">
        <v>3</v>
      </c>
      <c r="D1484">
        <v>5</v>
      </c>
      <c r="E1484" t="s">
        <v>29</v>
      </c>
      <c r="F1484">
        <v>200</v>
      </c>
      <c r="G1484">
        <v>1</v>
      </c>
      <c r="H1484">
        <v>20</v>
      </c>
      <c r="I1484" t="s">
        <v>26</v>
      </c>
      <c r="J1484" s="3">
        <v>368.33295700000002</v>
      </c>
      <c r="K1484" s="3">
        <v>15427.937</v>
      </c>
      <c r="L1484" s="3">
        <v>16775.592000000001</v>
      </c>
      <c r="M1484" s="3">
        <v>15427.937</v>
      </c>
      <c r="N1484" s="3">
        <v>15143.349</v>
      </c>
      <c r="O1484" s="4">
        <v>1.8793</v>
      </c>
      <c r="P1484" s="4">
        <v>10.778600000000001</v>
      </c>
      <c r="Q1484" s="4">
        <v>1.8793</v>
      </c>
      <c r="R1484" s="5">
        <v>5.0000000000000001E-4</v>
      </c>
      <c r="S1484">
        <v>4</v>
      </c>
      <c r="T1484" t="b">
        <v>0</v>
      </c>
      <c r="U1484">
        <v>3</v>
      </c>
      <c r="V1484" s="4">
        <v>132.53</v>
      </c>
    </row>
    <row r="1485" spans="1:22" x14ac:dyDescent="0.35">
      <c r="A1485" t="s">
        <v>21</v>
      </c>
      <c r="B1485">
        <v>2</v>
      </c>
      <c r="C1485">
        <v>3</v>
      </c>
      <c r="D1485">
        <v>5</v>
      </c>
      <c r="E1485" t="s">
        <v>29</v>
      </c>
      <c r="F1485">
        <v>200</v>
      </c>
      <c r="G1485">
        <v>3</v>
      </c>
      <c r="H1485">
        <v>20</v>
      </c>
      <c r="I1485" t="s">
        <v>26</v>
      </c>
      <c r="J1485" s="3">
        <v>138.055702</v>
      </c>
      <c r="K1485" s="3">
        <v>15427.937</v>
      </c>
      <c r="L1485" s="3">
        <v>15823.855</v>
      </c>
      <c r="M1485" s="3">
        <v>15143.349</v>
      </c>
      <c r="N1485" s="3">
        <v>15143.349</v>
      </c>
      <c r="O1485" s="4">
        <v>1.8793</v>
      </c>
      <c r="P1485" s="4">
        <v>4.4938000000000002</v>
      </c>
      <c r="Q1485" s="4">
        <v>0</v>
      </c>
      <c r="R1485" s="5">
        <v>5.4999999999999997E-3</v>
      </c>
      <c r="S1485">
        <v>28</v>
      </c>
      <c r="T1485" t="b">
        <v>0</v>
      </c>
      <c r="U1485">
        <v>21</v>
      </c>
      <c r="V1485" s="4">
        <v>395.51</v>
      </c>
    </row>
    <row r="1486" spans="1:22" x14ac:dyDescent="0.35">
      <c r="A1486" t="s">
        <v>21</v>
      </c>
      <c r="B1486">
        <v>2</v>
      </c>
      <c r="C1486">
        <v>3</v>
      </c>
      <c r="D1486">
        <v>10</v>
      </c>
      <c r="E1486" t="s">
        <v>29</v>
      </c>
      <c r="F1486">
        <v>50</v>
      </c>
      <c r="G1486">
        <v>1</v>
      </c>
      <c r="H1486">
        <v>20</v>
      </c>
      <c r="I1486" t="s">
        <v>26</v>
      </c>
      <c r="J1486" s="3">
        <v>736.34920099999999</v>
      </c>
      <c r="K1486" s="3" t="s">
        <v>24</v>
      </c>
      <c r="L1486" s="3" t="s">
        <v>24</v>
      </c>
      <c r="M1486" s="3" t="s">
        <v>24</v>
      </c>
      <c r="N1486" s="3">
        <v>15143.349</v>
      </c>
      <c r="O1486" s="4"/>
      <c r="P1486" s="4"/>
      <c r="Q1486" s="4"/>
      <c r="R1486" s="5">
        <v>0</v>
      </c>
      <c r="S1486">
        <v>0</v>
      </c>
      <c r="T1486" t="b">
        <v>1</v>
      </c>
      <c r="U1486">
        <v>-1</v>
      </c>
      <c r="V1486" s="4">
        <v>44.86</v>
      </c>
    </row>
    <row r="1487" spans="1:22" x14ac:dyDescent="0.35">
      <c r="A1487" t="s">
        <v>21</v>
      </c>
      <c r="B1487">
        <v>2</v>
      </c>
      <c r="C1487">
        <v>3</v>
      </c>
      <c r="D1487">
        <v>10</v>
      </c>
      <c r="E1487" t="s">
        <v>29</v>
      </c>
      <c r="F1487">
        <v>50</v>
      </c>
      <c r="G1487">
        <v>3</v>
      </c>
      <c r="H1487">
        <v>20</v>
      </c>
      <c r="I1487" t="s">
        <v>26</v>
      </c>
      <c r="J1487" s="3">
        <v>711.381801</v>
      </c>
      <c r="K1487" s="3">
        <v>16775.592000000001</v>
      </c>
      <c r="L1487" s="3">
        <v>16775.592000000001</v>
      </c>
      <c r="M1487" s="3">
        <v>16775.592000000001</v>
      </c>
      <c r="N1487" s="3">
        <v>15143.349</v>
      </c>
      <c r="O1487" s="4">
        <v>10.778600000000001</v>
      </c>
      <c r="P1487" s="4">
        <v>10.778600000000001</v>
      </c>
      <c r="Q1487" s="4">
        <v>10.778600000000001</v>
      </c>
      <c r="R1487" s="5">
        <v>1E-4</v>
      </c>
      <c r="S1487">
        <v>1</v>
      </c>
      <c r="T1487" t="b">
        <v>0</v>
      </c>
      <c r="U1487">
        <v>1</v>
      </c>
      <c r="V1487" s="4">
        <v>132.57</v>
      </c>
    </row>
    <row r="1488" spans="1:22" x14ac:dyDescent="0.35">
      <c r="A1488" t="s">
        <v>21</v>
      </c>
      <c r="B1488">
        <v>2</v>
      </c>
      <c r="C1488">
        <v>3</v>
      </c>
      <c r="D1488">
        <v>10</v>
      </c>
      <c r="E1488" t="s">
        <v>29</v>
      </c>
      <c r="F1488">
        <v>200</v>
      </c>
      <c r="G1488">
        <v>1</v>
      </c>
      <c r="H1488">
        <v>20</v>
      </c>
      <c r="I1488" t="s">
        <v>26</v>
      </c>
      <c r="J1488" s="3">
        <v>714.765534</v>
      </c>
      <c r="K1488" s="3">
        <v>16094.296</v>
      </c>
      <c r="L1488" s="3">
        <v>17060.18</v>
      </c>
      <c r="M1488" s="3">
        <v>16094.296</v>
      </c>
      <c r="N1488" s="3">
        <v>15143.349</v>
      </c>
      <c r="O1488" s="4">
        <v>6.2796000000000003</v>
      </c>
      <c r="P1488" s="4">
        <v>12.6579</v>
      </c>
      <c r="Q1488" s="4">
        <v>6.2796000000000003</v>
      </c>
      <c r="R1488" s="5">
        <v>2.0000000000000001E-4</v>
      </c>
      <c r="S1488">
        <v>2</v>
      </c>
      <c r="T1488" t="b">
        <v>0</v>
      </c>
      <c r="U1488">
        <v>2</v>
      </c>
      <c r="V1488" s="4">
        <v>143.19999999999999</v>
      </c>
    </row>
    <row r="1489" spans="1:22" x14ac:dyDescent="0.35">
      <c r="A1489" t="s">
        <v>21</v>
      </c>
      <c r="B1489">
        <v>2</v>
      </c>
      <c r="C1489">
        <v>3</v>
      </c>
      <c r="D1489">
        <v>10</v>
      </c>
      <c r="E1489" t="s">
        <v>29</v>
      </c>
      <c r="F1489">
        <v>200</v>
      </c>
      <c r="G1489">
        <v>3</v>
      </c>
      <c r="H1489">
        <v>20</v>
      </c>
      <c r="I1489" t="s">
        <v>26</v>
      </c>
      <c r="J1489" s="3">
        <v>328.340149</v>
      </c>
      <c r="K1489" s="3">
        <v>15143.349</v>
      </c>
      <c r="L1489" s="3">
        <v>15943.084000000001</v>
      </c>
      <c r="M1489" s="3">
        <v>15143.349</v>
      </c>
      <c r="N1489" s="3">
        <v>15143.349</v>
      </c>
      <c r="O1489" s="4">
        <v>0</v>
      </c>
      <c r="P1489" s="4">
        <v>5.2811000000000003</v>
      </c>
      <c r="Q1489" s="4">
        <v>0</v>
      </c>
      <c r="R1489" s="5">
        <v>8.9999999999999998E-4</v>
      </c>
      <c r="S1489">
        <v>9</v>
      </c>
      <c r="T1489" t="b">
        <v>0</v>
      </c>
      <c r="U1489">
        <v>6</v>
      </c>
      <c r="V1489" s="4">
        <v>393.24</v>
      </c>
    </row>
    <row r="1490" spans="1:22" x14ac:dyDescent="0.35">
      <c r="A1490" t="s">
        <v>21</v>
      </c>
      <c r="B1490">
        <v>3</v>
      </c>
      <c r="C1490">
        <v>1</v>
      </c>
      <c r="D1490">
        <v>2</v>
      </c>
      <c r="E1490" t="s">
        <v>29</v>
      </c>
      <c r="F1490">
        <v>50</v>
      </c>
      <c r="G1490">
        <v>1</v>
      </c>
      <c r="H1490">
        <v>20</v>
      </c>
      <c r="I1490" t="s">
        <v>26</v>
      </c>
      <c r="J1490" s="3">
        <v>164.371803</v>
      </c>
      <c r="K1490" s="3" t="s">
        <v>24</v>
      </c>
      <c r="L1490" s="3" t="s">
        <v>24</v>
      </c>
      <c r="M1490" s="3" t="s">
        <v>24</v>
      </c>
      <c r="N1490" s="3">
        <v>18342.582999999999</v>
      </c>
      <c r="O1490" s="4"/>
      <c r="P1490" s="4"/>
      <c r="Q1490" s="4"/>
      <c r="R1490" s="5">
        <v>0</v>
      </c>
      <c r="S1490">
        <v>0</v>
      </c>
      <c r="T1490" t="b">
        <v>1</v>
      </c>
      <c r="U1490">
        <v>-1</v>
      </c>
      <c r="V1490" s="4">
        <v>29.36</v>
      </c>
    </row>
    <row r="1491" spans="1:22" x14ac:dyDescent="0.35">
      <c r="A1491" t="s">
        <v>21</v>
      </c>
      <c r="B1491">
        <v>3</v>
      </c>
      <c r="C1491">
        <v>1</v>
      </c>
      <c r="D1491">
        <v>2</v>
      </c>
      <c r="E1491" t="s">
        <v>29</v>
      </c>
      <c r="F1491">
        <v>50</v>
      </c>
      <c r="G1491">
        <v>3</v>
      </c>
      <c r="H1491">
        <v>20</v>
      </c>
      <c r="I1491" t="s">
        <v>26</v>
      </c>
      <c r="J1491" s="3">
        <v>164.371803</v>
      </c>
      <c r="K1491" s="3" t="s">
        <v>24</v>
      </c>
      <c r="L1491" s="3" t="s">
        <v>24</v>
      </c>
      <c r="M1491" s="3" t="s">
        <v>24</v>
      </c>
      <c r="N1491" s="3">
        <v>18342.582999999999</v>
      </c>
      <c r="O1491" s="4"/>
      <c r="P1491" s="4"/>
      <c r="Q1491" s="4"/>
      <c r="R1491" s="5">
        <v>0</v>
      </c>
      <c r="S1491">
        <v>0</v>
      </c>
      <c r="T1491" t="b">
        <v>1</v>
      </c>
      <c r="U1491">
        <v>-1</v>
      </c>
      <c r="V1491" s="4">
        <v>85.69</v>
      </c>
    </row>
    <row r="1492" spans="1:22" x14ac:dyDescent="0.35">
      <c r="A1492" t="s">
        <v>21</v>
      </c>
      <c r="B1492">
        <v>3</v>
      </c>
      <c r="C1492">
        <v>1</v>
      </c>
      <c r="D1492">
        <v>2</v>
      </c>
      <c r="E1492" t="s">
        <v>29</v>
      </c>
      <c r="F1492">
        <v>200</v>
      </c>
      <c r="G1492">
        <v>1</v>
      </c>
      <c r="H1492">
        <v>20</v>
      </c>
      <c r="I1492" t="s">
        <v>26</v>
      </c>
      <c r="J1492" s="3">
        <v>164.08138400000001</v>
      </c>
      <c r="K1492" s="3">
        <v>18627.170999999998</v>
      </c>
      <c r="L1492" s="3">
        <v>18627.170999999998</v>
      </c>
      <c r="M1492" s="3">
        <v>18627.170999999998</v>
      </c>
      <c r="N1492" s="3">
        <v>18342.582999999999</v>
      </c>
      <c r="O1492" s="4">
        <v>1.5515000000000001</v>
      </c>
      <c r="P1492" s="4">
        <v>1.5515000000000001</v>
      </c>
      <c r="Q1492" s="4">
        <v>1.5515000000000001</v>
      </c>
      <c r="R1492" s="5">
        <v>2.0000000000000001E-4</v>
      </c>
      <c r="S1492">
        <v>2</v>
      </c>
      <c r="T1492" t="b">
        <v>0</v>
      </c>
      <c r="U1492">
        <v>1</v>
      </c>
      <c r="V1492" s="4">
        <v>85.68</v>
      </c>
    </row>
    <row r="1493" spans="1:22" x14ac:dyDescent="0.35">
      <c r="A1493" t="s">
        <v>21</v>
      </c>
      <c r="B1493">
        <v>3</v>
      </c>
      <c r="C1493">
        <v>1</v>
      </c>
      <c r="D1493">
        <v>2</v>
      </c>
      <c r="E1493" t="s">
        <v>29</v>
      </c>
      <c r="F1493">
        <v>200</v>
      </c>
      <c r="G1493">
        <v>3</v>
      </c>
      <c r="H1493">
        <v>20</v>
      </c>
      <c r="I1493" t="s">
        <v>26</v>
      </c>
      <c r="J1493" s="3">
        <v>163.58641700000001</v>
      </c>
      <c r="K1493" s="3">
        <v>18356.73</v>
      </c>
      <c r="L1493" s="3">
        <v>18356.73</v>
      </c>
      <c r="M1493" s="3">
        <v>18356.73</v>
      </c>
      <c r="N1493" s="3">
        <v>18342.582999999999</v>
      </c>
      <c r="O1493" s="4">
        <v>7.7100000000000002E-2</v>
      </c>
      <c r="P1493" s="4">
        <v>7.7100000000000002E-2</v>
      </c>
      <c r="Q1493" s="4">
        <v>7.7100000000000002E-2</v>
      </c>
      <c r="R1493" s="5">
        <v>1E-4</v>
      </c>
      <c r="S1493">
        <v>1</v>
      </c>
      <c r="T1493" t="b">
        <v>0</v>
      </c>
      <c r="U1493">
        <v>1</v>
      </c>
      <c r="V1493" s="4">
        <v>255.27</v>
      </c>
    </row>
    <row r="1494" spans="1:22" x14ac:dyDescent="0.35">
      <c r="A1494" t="s">
        <v>21</v>
      </c>
      <c r="B1494">
        <v>3</v>
      </c>
      <c r="C1494">
        <v>1</v>
      </c>
      <c r="D1494">
        <v>5</v>
      </c>
      <c r="E1494" t="s">
        <v>29</v>
      </c>
      <c r="F1494">
        <v>50</v>
      </c>
      <c r="G1494">
        <v>1</v>
      </c>
      <c r="H1494">
        <v>20</v>
      </c>
      <c r="I1494" t="s">
        <v>26</v>
      </c>
      <c r="J1494" s="3">
        <v>398.32332200000002</v>
      </c>
      <c r="K1494" s="3">
        <v>18342.582999999999</v>
      </c>
      <c r="L1494" s="3">
        <v>18627.170999999998</v>
      </c>
      <c r="M1494" s="3">
        <v>18342.582999999999</v>
      </c>
      <c r="N1494" s="3">
        <v>18342.582999999999</v>
      </c>
      <c r="O1494" s="4">
        <v>0</v>
      </c>
      <c r="P1494" s="4">
        <v>1.5515000000000001</v>
      </c>
      <c r="Q1494" s="4">
        <v>0</v>
      </c>
      <c r="R1494" s="5">
        <v>5.0000000000000001E-4</v>
      </c>
      <c r="S1494">
        <v>3</v>
      </c>
      <c r="T1494" t="b">
        <v>0</v>
      </c>
      <c r="U1494">
        <v>2</v>
      </c>
      <c r="V1494" s="4">
        <v>29.06</v>
      </c>
    </row>
    <row r="1495" spans="1:22" x14ac:dyDescent="0.35">
      <c r="A1495" t="s">
        <v>21</v>
      </c>
      <c r="B1495">
        <v>3</v>
      </c>
      <c r="C1495">
        <v>1</v>
      </c>
      <c r="D1495">
        <v>5</v>
      </c>
      <c r="E1495" t="s">
        <v>29</v>
      </c>
      <c r="F1495">
        <v>50</v>
      </c>
      <c r="G1495">
        <v>3</v>
      </c>
      <c r="H1495">
        <v>20</v>
      </c>
      <c r="I1495" t="s">
        <v>26</v>
      </c>
      <c r="J1495" s="3">
        <v>398.32332200000002</v>
      </c>
      <c r="K1495" s="3">
        <v>18342.582999999999</v>
      </c>
      <c r="L1495" s="3">
        <v>18627.170999999998</v>
      </c>
      <c r="M1495" s="3">
        <v>18342.582999999999</v>
      </c>
      <c r="N1495" s="3">
        <v>18342.582999999999</v>
      </c>
      <c r="O1495" s="4">
        <v>0</v>
      </c>
      <c r="P1495" s="4">
        <v>1.5515000000000001</v>
      </c>
      <c r="Q1495" s="4">
        <v>0</v>
      </c>
      <c r="R1495" s="5">
        <v>5.0000000000000001E-4</v>
      </c>
      <c r="S1495">
        <v>3</v>
      </c>
      <c r="T1495" t="b">
        <v>0</v>
      </c>
      <c r="U1495">
        <v>2</v>
      </c>
      <c r="V1495" s="4">
        <v>86.27</v>
      </c>
    </row>
    <row r="1496" spans="1:22" x14ac:dyDescent="0.35">
      <c r="A1496" t="s">
        <v>21</v>
      </c>
      <c r="B1496">
        <v>3</v>
      </c>
      <c r="C1496">
        <v>1</v>
      </c>
      <c r="D1496">
        <v>5</v>
      </c>
      <c r="E1496" t="s">
        <v>29</v>
      </c>
      <c r="F1496">
        <v>200</v>
      </c>
      <c r="G1496">
        <v>1</v>
      </c>
      <c r="H1496">
        <v>20</v>
      </c>
      <c r="I1496" t="s">
        <v>26</v>
      </c>
      <c r="J1496" s="3">
        <v>397.49236500000001</v>
      </c>
      <c r="K1496" s="3">
        <v>19023.089</v>
      </c>
      <c r="L1496" s="3">
        <v>19023.089</v>
      </c>
      <c r="M1496" s="3">
        <v>19023.089</v>
      </c>
      <c r="N1496" s="3">
        <v>18342.582999999999</v>
      </c>
      <c r="O1496" s="4">
        <v>3.71</v>
      </c>
      <c r="P1496" s="4">
        <v>3.71</v>
      </c>
      <c r="Q1496" s="4">
        <v>3.71</v>
      </c>
      <c r="R1496" s="5">
        <v>6.9999999999999999E-4</v>
      </c>
      <c r="S1496">
        <v>5</v>
      </c>
      <c r="T1496" t="b">
        <v>0</v>
      </c>
      <c r="U1496">
        <v>1</v>
      </c>
      <c r="V1496" s="4">
        <v>87.7</v>
      </c>
    </row>
    <row r="1497" spans="1:22" x14ac:dyDescent="0.35">
      <c r="A1497" t="s">
        <v>21</v>
      </c>
      <c r="B1497">
        <v>3</v>
      </c>
      <c r="C1497">
        <v>1</v>
      </c>
      <c r="D1497">
        <v>5</v>
      </c>
      <c r="E1497" t="s">
        <v>29</v>
      </c>
      <c r="F1497">
        <v>200</v>
      </c>
      <c r="G1497">
        <v>3</v>
      </c>
      <c r="H1497">
        <v>20</v>
      </c>
      <c r="I1497" t="s">
        <v>26</v>
      </c>
      <c r="J1497" s="3">
        <v>397.49236500000001</v>
      </c>
      <c r="K1497" s="3">
        <v>19023.089</v>
      </c>
      <c r="L1497" s="3">
        <v>19023.089</v>
      </c>
      <c r="M1497" s="3">
        <v>19023.089</v>
      </c>
      <c r="N1497" s="3">
        <v>18342.582999999999</v>
      </c>
      <c r="O1497" s="4">
        <v>3.71</v>
      </c>
      <c r="P1497" s="4">
        <v>3.71</v>
      </c>
      <c r="Q1497" s="4">
        <v>3.71</v>
      </c>
      <c r="R1497" s="5">
        <v>6.9999999999999999E-4</v>
      </c>
      <c r="S1497">
        <v>5</v>
      </c>
      <c r="T1497" t="b">
        <v>0</v>
      </c>
      <c r="U1497">
        <v>1</v>
      </c>
      <c r="V1497" s="4">
        <v>255.2</v>
      </c>
    </row>
    <row r="1498" spans="1:22" x14ac:dyDescent="0.35">
      <c r="A1498" t="s">
        <v>21</v>
      </c>
      <c r="B1498">
        <v>3</v>
      </c>
      <c r="C1498">
        <v>1</v>
      </c>
      <c r="D1498">
        <v>10</v>
      </c>
      <c r="E1498" t="s">
        <v>29</v>
      </c>
      <c r="F1498">
        <v>50</v>
      </c>
      <c r="G1498">
        <v>1</v>
      </c>
      <c r="H1498">
        <v>20</v>
      </c>
      <c r="I1498" t="s">
        <v>26</v>
      </c>
      <c r="J1498" s="3">
        <v>794.34013300000004</v>
      </c>
      <c r="K1498" s="3">
        <v>18342.582999999999</v>
      </c>
      <c r="L1498" s="3">
        <v>19023.089</v>
      </c>
      <c r="M1498" s="3">
        <v>18342.582999999999</v>
      </c>
      <c r="N1498" s="3">
        <v>18342.582999999999</v>
      </c>
      <c r="O1498" s="4">
        <v>0</v>
      </c>
      <c r="P1498" s="4">
        <v>3.71</v>
      </c>
      <c r="Q1498" s="4">
        <v>0</v>
      </c>
      <c r="R1498" s="5">
        <v>8.0000000000000004E-4</v>
      </c>
      <c r="S1498">
        <v>6</v>
      </c>
      <c r="T1498" t="b">
        <v>0</v>
      </c>
      <c r="U1498">
        <v>6</v>
      </c>
      <c r="V1498" s="4">
        <v>29.11</v>
      </c>
    </row>
    <row r="1499" spans="1:22" x14ac:dyDescent="0.35">
      <c r="A1499" t="s">
        <v>21</v>
      </c>
      <c r="B1499">
        <v>3</v>
      </c>
      <c r="C1499">
        <v>1</v>
      </c>
      <c r="D1499">
        <v>10</v>
      </c>
      <c r="E1499" t="s">
        <v>29</v>
      </c>
      <c r="F1499">
        <v>50</v>
      </c>
      <c r="G1499">
        <v>3</v>
      </c>
      <c r="H1499">
        <v>20</v>
      </c>
      <c r="I1499" t="s">
        <v>26</v>
      </c>
      <c r="J1499" s="3">
        <v>790.84312899999998</v>
      </c>
      <c r="K1499" s="3">
        <v>18356.73</v>
      </c>
      <c r="L1499" s="3">
        <v>18627.170999999998</v>
      </c>
      <c r="M1499" s="3">
        <v>18356.73</v>
      </c>
      <c r="N1499" s="3">
        <v>18342.582999999999</v>
      </c>
      <c r="O1499" s="4">
        <v>7.7100000000000002E-2</v>
      </c>
      <c r="P1499" s="4">
        <v>1.5515000000000001</v>
      </c>
      <c r="Q1499" s="4">
        <v>7.7100000000000002E-2</v>
      </c>
      <c r="R1499" s="5">
        <v>4.0000000000000002E-4</v>
      </c>
      <c r="S1499">
        <v>3</v>
      </c>
      <c r="T1499" t="b">
        <v>0</v>
      </c>
      <c r="U1499">
        <v>3</v>
      </c>
      <c r="V1499" s="4">
        <v>85.94</v>
      </c>
    </row>
    <row r="1500" spans="1:22" x14ac:dyDescent="0.35">
      <c r="A1500" t="s">
        <v>21</v>
      </c>
      <c r="B1500">
        <v>3</v>
      </c>
      <c r="C1500">
        <v>1</v>
      </c>
      <c r="D1500">
        <v>10</v>
      </c>
      <c r="E1500" t="s">
        <v>29</v>
      </c>
      <c r="F1500">
        <v>200</v>
      </c>
      <c r="G1500">
        <v>1</v>
      </c>
      <c r="H1500">
        <v>20</v>
      </c>
      <c r="I1500" t="s">
        <v>26</v>
      </c>
      <c r="J1500" s="3">
        <v>798.95535199999995</v>
      </c>
      <c r="K1500" s="3">
        <v>18627.170999999998</v>
      </c>
      <c r="L1500" s="3">
        <v>19988.973000000002</v>
      </c>
      <c r="M1500" s="3">
        <v>18627.170999999998</v>
      </c>
      <c r="N1500" s="3">
        <v>18342.582999999999</v>
      </c>
      <c r="O1500" s="4">
        <v>1.5515000000000001</v>
      </c>
      <c r="P1500" s="4">
        <v>8.9757999999999996</v>
      </c>
      <c r="Q1500" s="4">
        <v>1.5515000000000001</v>
      </c>
      <c r="R1500" s="5">
        <v>5.9999999999999995E-4</v>
      </c>
      <c r="S1500">
        <v>3</v>
      </c>
      <c r="T1500" t="b">
        <v>0</v>
      </c>
      <c r="U1500">
        <v>2</v>
      </c>
      <c r="V1500" s="4">
        <v>85.47</v>
      </c>
    </row>
    <row r="1501" spans="1:22" x14ac:dyDescent="0.35">
      <c r="A1501" t="s">
        <v>21</v>
      </c>
      <c r="B1501">
        <v>3</v>
      </c>
      <c r="C1501">
        <v>1</v>
      </c>
      <c r="D1501">
        <v>10</v>
      </c>
      <c r="E1501" t="s">
        <v>29</v>
      </c>
      <c r="F1501">
        <v>200</v>
      </c>
      <c r="G1501">
        <v>3</v>
      </c>
      <c r="H1501">
        <v>20</v>
      </c>
      <c r="I1501" t="s">
        <v>26</v>
      </c>
      <c r="J1501" s="3">
        <v>795.32913900000005</v>
      </c>
      <c r="K1501" s="3">
        <v>18356.73</v>
      </c>
      <c r="L1501" s="3">
        <v>18356.73</v>
      </c>
      <c r="M1501" s="3">
        <v>18356.73</v>
      </c>
      <c r="N1501" s="3">
        <v>18342.582999999999</v>
      </c>
      <c r="O1501" s="4">
        <v>7.7100000000000002E-2</v>
      </c>
      <c r="P1501" s="4">
        <v>7.7100000000000002E-2</v>
      </c>
      <c r="Q1501" s="4">
        <v>7.7100000000000002E-2</v>
      </c>
      <c r="R1501" s="5">
        <v>2.0000000000000001E-4</v>
      </c>
      <c r="S1501">
        <v>1</v>
      </c>
      <c r="T1501" t="b">
        <v>0</v>
      </c>
      <c r="U1501">
        <v>1</v>
      </c>
      <c r="V1501" s="4">
        <v>254.53</v>
      </c>
    </row>
    <row r="1502" spans="1:22" x14ac:dyDescent="0.35">
      <c r="A1502" t="s">
        <v>21</v>
      </c>
      <c r="B1502">
        <v>3</v>
      </c>
      <c r="C1502">
        <v>3</v>
      </c>
      <c r="D1502">
        <v>2</v>
      </c>
      <c r="E1502" t="s">
        <v>29</v>
      </c>
      <c r="F1502">
        <v>50</v>
      </c>
      <c r="G1502">
        <v>1</v>
      </c>
      <c r="H1502">
        <v>20</v>
      </c>
      <c r="I1502" t="s">
        <v>26</v>
      </c>
      <c r="J1502" s="3">
        <v>165.72389999999999</v>
      </c>
      <c r="K1502" s="3">
        <v>18342.582999999999</v>
      </c>
      <c r="L1502" s="3">
        <v>18342.582999999999</v>
      </c>
      <c r="M1502" s="3">
        <v>18342.582999999999</v>
      </c>
      <c r="N1502" s="3">
        <v>18342.582999999999</v>
      </c>
      <c r="O1502" s="4">
        <v>0</v>
      </c>
      <c r="P1502" s="4">
        <v>0</v>
      </c>
      <c r="Q1502" s="4">
        <v>0</v>
      </c>
      <c r="R1502" s="5">
        <v>1E-4</v>
      </c>
      <c r="S1502">
        <v>1</v>
      </c>
      <c r="T1502" t="b">
        <v>0</v>
      </c>
      <c r="U1502">
        <v>1</v>
      </c>
      <c r="V1502" s="4">
        <v>44.95</v>
      </c>
    </row>
    <row r="1503" spans="1:22" x14ac:dyDescent="0.35">
      <c r="A1503" t="s">
        <v>21</v>
      </c>
      <c r="B1503">
        <v>3</v>
      </c>
      <c r="C1503">
        <v>3</v>
      </c>
      <c r="D1503">
        <v>2</v>
      </c>
      <c r="E1503" t="s">
        <v>29</v>
      </c>
      <c r="F1503">
        <v>50</v>
      </c>
      <c r="G1503">
        <v>3</v>
      </c>
      <c r="H1503">
        <v>20</v>
      </c>
      <c r="I1503" t="s">
        <v>26</v>
      </c>
      <c r="J1503" s="3">
        <v>123.430948</v>
      </c>
      <c r="K1503" s="3">
        <v>18356.73</v>
      </c>
      <c r="L1503" s="3">
        <v>18356.73</v>
      </c>
      <c r="M1503" s="3">
        <v>18356.73</v>
      </c>
      <c r="N1503" s="3">
        <v>18342.582999999999</v>
      </c>
      <c r="O1503" s="4">
        <v>7.7100000000000002E-2</v>
      </c>
      <c r="P1503" s="4">
        <v>7.7100000000000002E-2</v>
      </c>
      <c r="Q1503" s="4">
        <v>7.7100000000000002E-2</v>
      </c>
      <c r="R1503" s="5">
        <v>2.0000000000000001E-4</v>
      </c>
      <c r="S1503">
        <v>2</v>
      </c>
      <c r="T1503" t="b">
        <v>0</v>
      </c>
      <c r="U1503">
        <v>1</v>
      </c>
      <c r="V1503" s="4">
        <v>133.22999999999999</v>
      </c>
    </row>
    <row r="1504" spans="1:22" x14ac:dyDescent="0.35">
      <c r="A1504" t="s">
        <v>21</v>
      </c>
      <c r="B1504">
        <v>3</v>
      </c>
      <c r="C1504">
        <v>3</v>
      </c>
      <c r="D1504">
        <v>2</v>
      </c>
      <c r="E1504" t="s">
        <v>29</v>
      </c>
      <c r="F1504">
        <v>200</v>
      </c>
      <c r="G1504">
        <v>1</v>
      </c>
      <c r="H1504">
        <v>20</v>
      </c>
      <c r="I1504" t="s">
        <v>26</v>
      </c>
      <c r="J1504" s="3">
        <v>164.27656500000001</v>
      </c>
      <c r="K1504" s="3" t="s">
        <v>24</v>
      </c>
      <c r="L1504" s="3" t="s">
        <v>24</v>
      </c>
      <c r="M1504" s="3" t="s">
        <v>24</v>
      </c>
      <c r="N1504" s="3">
        <v>18342.582999999999</v>
      </c>
      <c r="O1504" s="4"/>
      <c r="P1504" s="4"/>
      <c r="Q1504" s="4"/>
      <c r="R1504" s="5">
        <v>0</v>
      </c>
      <c r="S1504">
        <v>0</v>
      </c>
      <c r="T1504" t="b">
        <v>1</v>
      </c>
      <c r="U1504">
        <v>-1</v>
      </c>
      <c r="V1504" s="4">
        <v>132.06</v>
      </c>
    </row>
    <row r="1505" spans="1:22" x14ac:dyDescent="0.35">
      <c r="A1505" t="s">
        <v>21</v>
      </c>
      <c r="B1505">
        <v>3</v>
      </c>
      <c r="C1505">
        <v>3</v>
      </c>
      <c r="D1505">
        <v>2</v>
      </c>
      <c r="E1505" t="s">
        <v>29</v>
      </c>
      <c r="F1505">
        <v>200</v>
      </c>
      <c r="G1505">
        <v>3</v>
      </c>
      <c r="H1505">
        <v>20</v>
      </c>
      <c r="I1505" t="s">
        <v>26</v>
      </c>
      <c r="J1505" s="3">
        <v>90.101421999999999</v>
      </c>
      <c r="K1505" s="3" t="s">
        <v>24</v>
      </c>
      <c r="L1505" s="3" t="s">
        <v>24</v>
      </c>
      <c r="M1505" s="3" t="s">
        <v>24</v>
      </c>
      <c r="N1505" s="3">
        <v>18342.582999999999</v>
      </c>
      <c r="O1505" s="4"/>
      <c r="P1505" s="4"/>
      <c r="Q1505" s="4"/>
      <c r="R1505" s="5">
        <v>0</v>
      </c>
      <c r="S1505">
        <v>0</v>
      </c>
      <c r="T1505" t="b">
        <v>1</v>
      </c>
      <c r="U1505">
        <v>-1</v>
      </c>
      <c r="V1505" s="4">
        <v>393.43</v>
      </c>
    </row>
    <row r="1506" spans="1:22" x14ac:dyDescent="0.35">
      <c r="A1506" t="s">
        <v>21</v>
      </c>
      <c r="B1506">
        <v>3</v>
      </c>
      <c r="C1506">
        <v>3</v>
      </c>
      <c r="D1506">
        <v>5</v>
      </c>
      <c r="E1506" t="s">
        <v>29</v>
      </c>
      <c r="F1506">
        <v>50</v>
      </c>
      <c r="G1506">
        <v>1</v>
      </c>
      <c r="H1506">
        <v>20</v>
      </c>
      <c r="I1506" t="s">
        <v>26</v>
      </c>
      <c r="J1506" s="3">
        <v>398.600346</v>
      </c>
      <c r="K1506" s="3" t="s">
        <v>24</v>
      </c>
      <c r="L1506" s="3" t="s">
        <v>24</v>
      </c>
      <c r="M1506" s="3" t="s">
        <v>24</v>
      </c>
      <c r="N1506" s="3">
        <v>18342.582999999999</v>
      </c>
      <c r="O1506" s="4"/>
      <c r="P1506" s="4"/>
      <c r="Q1506" s="4"/>
      <c r="R1506" s="5">
        <v>0</v>
      </c>
      <c r="S1506">
        <v>0</v>
      </c>
      <c r="T1506" t="b">
        <v>1</v>
      </c>
      <c r="U1506">
        <v>-1</v>
      </c>
      <c r="V1506" s="4">
        <v>44.75</v>
      </c>
    </row>
    <row r="1507" spans="1:22" x14ac:dyDescent="0.35">
      <c r="A1507" t="s">
        <v>21</v>
      </c>
      <c r="B1507">
        <v>3</v>
      </c>
      <c r="C1507">
        <v>3</v>
      </c>
      <c r="D1507">
        <v>5</v>
      </c>
      <c r="E1507" t="s">
        <v>29</v>
      </c>
      <c r="F1507">
        <v>50</v>
      </c>
      <c r="G1507">
        <v>3</v>
      </c>
      <c r="H1507">
        <v>20</v>
      </c>
      <c r="I1507" t="s">
        <v>26</v>
      </c>
      <c r="J1507" s="3">
        <v>335.20758599999999</v>
      </c>
      <c r="K1507" s="3">
        <v>19156.465</v>
      </c>
      <c r="L1507" s="3">
        <v>19156.465</v>
      </c>
      <c r="M1507" s="3">
        <v>19156.465</v>
      </c>
      <c r="N1507" s="3">
        <v>18342.582999999999</v>
      </c>
      <c r="O1507" s="4">
        <v>4.4371</v>
      </c>
      <c r="P1507" s="4">
        <v>4.4371</v>
      </c>
      <c r="Q1507" s="4">
        <v>4.4371</v>
      </c>
      <c r="R1507" s="5">
        <v>1E-4</v>
      </c>
      <c r="S1507">
        <v>1</v>
      </c>
      <c r="T1507" t="b">
        <v>0</v>
      </c>
      <c r="U1507">
        <v>1</v>
      </c>
      <c r="V1507" s="4">
        <v>133.47</v>
      </c>
    </row>
    <row r="1508" spans="1:22" x14ac:dyDescent="0.35">
      <c r="A1508" t="s">
        <v>21</v>
      </c>
      <c r="B1508">
        <v>3</v>
      </c>
      <c r="C1508">
        <v>3</v>
      </c>
      <c r="D1508">
        <v>5</v>
      </c>
      <c r="E1508" t="s">
        <v>29</v>
      </c>
      <c r="F1508">
        <v>200</v>
      </c>
      <c r="G1508">
        <v>1</v>
      </c>
      <c r="H1508">
        <v>20</v>
      </c>
      <c r="I1508" t="s">
        <v>26</v>
      </c>
      <c r="J1508" s="3">
        <v>405.54278199999999</v>
      </c>
      <c r="K1508" s="3">
        <v>18627.170999999998</v>
      </c>
      <c r="L1508" s="3">
        <v>18627.170999999998</v>
      </c>
      <c r="M1508" s="3">
        <v>18627.170999999998</v>
      </c>
      <c r="N1508" s="3">
        <v>18342.582999999999</v>
      </c>
      <c r="O1508" s="4">
        <v>1.5515000000000001</v>
      </c>
      <c r="P1508" s="4">
        <v>1.5515000000000001</v>
      </c>
      <c r="Q1508" s="4">
        <v>1.5515000000000001</v>
      </c>
      <c r="R1508" s="5">
        <v>1E-4</v>
      </c>
      <c r="S1508">
        <v>1</v>
      </c>
      <c r="T1508" t="b">
        <v>0</v>
      </c>
      <c r="U1508">
        <v>1</v>
      </c>
      <c r="V1508" s="4">
        <v>132.28</v>
      </c>
    </row>
    <row r="1509" spans="1:22" x14ac:dyDescent="0.35">
      <c r="A1509" t="s">
        <v>21</v>
      </c>
      <c r="B1509">
        <v>3</v>
      </c>
      <c r="C1509">
        <v>3</v>
      </c>
      <c r="D1509">
        <v>5</v>
      </c>
      <c r="E1509" t="s">
        <v>29</v>
      </c>
      <c r="F1509">
        <v>200</v>
      </c>
      <c r="G1509">
        <v>3</v>
      </c>
      <c r="H1509">
        <v>20</v>
      </c>
      <c r="I1509" t="s">
        <v>26</v>
      </c>
      <c r="J1509" s="3">
        <v>74.316908999999995</v>
      </c>
      <c r="K1509" s="3">
        <v>18342.582999999999</v>
      </c>
      <c r="L1509" s="3">
        <v>19023.089</v>
      </c>
      <c r="M1509" s="3">
        <v>18342.582999999999</v>
      </c>
      <c r="N1509" s="3">
        <v>18342.582999999999</v>
      </c>
      <c r="O1509" s="4">
        <v>0</v>
      </c>
      <c r="P1509" s="4">
        <v>3.71</v>
      </c>
      <c r="Q1509" s="4">
        <v>0</v>
      </c>
      <c r="R1509" s="5">
        <v>5.3699999999999998E-2</v>
      </c>
      <c r="S1509">
        <v>12</v>
      </c>
      <c r="T1509" t="b">
        <v>0</v>
      </c>
      <c r="U1509">
        <v>3</v>
      </c>
      <c r="V1509" s="4">
        <v>391.02</v>
      </c>
    </row>
    <row r="1510" spans="1:22" x14ac:dyDescent="0.35">
      <c r="A1510" t="s">
        <v>21</v>
      </c>
      <c r="B1510">
        <v>3</v>
      </c>
      <c r="C1510">
        <v>3</v>
      </c>
      <c r="D1510">
        <v>10</v>
      </c>
      <c r="E1510" t="s">
        <v>29</v>
      </c>
      <c r="F1510">
        <v>50</v>
      </c>
      <c r="G1510">
        <v>1</v>
      </c>
      <c r="H1510">
        <v>20</v>
      </c>
      <c r="I1510" t="s">
        <v>26</v>
      </c>
      <c r="J1510" s="3">
        <v>804.16661599999998</v>
      </c>
      <c r="K1510" s="3">
        <v>18342.582999999999</v>
      </c>
      <c r="L1510" s="3">
        <v>18342.582999999999</v>
      </c>
      <c r="M1510" s="3">
        <v>18342.582999999999</v>
      </c>
      <c r="N1510" s="3">
        <v>18342.582999999999</v>
      </c>
      <c r="O1510" s="4">
        <v>0</v>
      </c>
      <c r="P1510" s="4">
        <v>0</v>
      </c>
      <c r="Q1510" s="4">
        <v>0</v>
      </c>
      <c r="R1510" s="5">
        <v>1E-4</v>
      </c>
      <c r="S1510">
        <v>1</v>
      </c>
      <c r="T1510" t="b">
        <v>0</v>
      </c>
      <c r="U1510">
        <v>1</v>
      </c>
      <c r="V1510" s="4">
        <v>44.96</v>
      </c>
    </row>
    <row r="1511" spans="1:22" x14ac:dyDescent="0.35">
      <c r="A1511" t="s">
        <v>21</v>
      </c>
      <c r="B1511">
        <v>3</v>
      </c>
      <c r="C1511">
        <v>3</v>
      </c>
      <c r="D1511">
        <v>10</v>
      </c>
      <c r="E1511" t="s">
        <v>29</v>
      </c>
      <c r="F1511">
        <v>50</v>
      </c>
      <c r="G1511">
        <v>3</v>
      </c>
      <c r="H1511">
        <v>20</v>
      </c>
      <c r="I1511" t="s">
        <v>26</v>
      </c>
      <c r="J1511" s="3">
        <v>492.454363</v>
      </c>
      <c r="K1511" s="3">
        <v>18342.582999999999</v>
      </c>
      <c r="L1511" s="3">
        <v>19023.089</v>
      </c>
      <c r="M1511" s="3">
        <v>18342.582999999999</v>
      </c>
      <c r="N1511" s="3">
        <v>18342.582999999999</v>
      </c>
      <c r="O1511" s="4">
        <v>0</v>
      </c>
      <c r="P1511" s="4">
        <v>3.71</v>
      </c>
      <c r="Q1511" s="4">
        <v>0</v>
      </c>
      <c r="R1511" s="5">
        <v>6.9999999999999999E-4</v>
      </c>
      <c r="S1511">
        <v>5</v>
      </c>
      <c r="T1511" t="b">
        <v>0</v>
      </c>
      <c r="U1511">
        <v>5</v>
      </c>
      <c r="V1511" s="4">
        <v>132.07</v>
      </c>
    </row>
    <row r="1512" spans="1:22" x14ac:dyDescent="0.35">
      <c r="A1512" t="s">
        <v>21</v>
      </c>
      <c r="B1512">
        <v>3</v>
      </c>
      <c r="C1512">
        <v>3</v>
      </c>
      <c r="D1512">
        <v>10</v>
      </c>
      <c r="E1512" t="s">
        <v>29</v>
      </c>
      <c r="F1512">
        <v>200</v>
      </c>
      <c r="G1512">
        <v>1</v>
      </c>
      <c r="H1512">
        <v>20</v>
      </c>
      <c r="I1512" t="s">
        <v>26</v>
      </c>
      <c r="J1512" s="3">
        <v>793.52064700000005</v>
      </c>
      <c r="K1512" s="3">
        <v>19023.089</v>
      </c>
      <c r="L1512" s="3">
        <v>19023.089</v>
      </c>
      <c r="M1512" s="3">
        <v>19023.089</v>
      </c>
      <c r="N1512" s="3">
        <v>18342.582999999999</v>
      </c>
      <c r="O1512" s="4">
        <v>3.71</v>
      </c>
      <c r="P1512" s="4">
        <v>3.71</v>
      </c>
      <c r="Q1512" s="4">
        <v>3.71</v>
      </c>
      <c r="R1512" s="5">
        <v>1E-4</v>
      </c>
      <c r="S1512">
        <v>1</v>
      </c>
      <c r="T1512" t="b">
        <v>0</v>
      </c>
      <c r="U1512">
        <v>1</v>
      </c>
      <c r="V1512" s="4">
        <v>132.32</v>
      </c>
    </row>
    <row r="1513" spans="1:22" x14ac:dyDescent="0.35">
      <c r="A1513" t="s">
        <v>21</v>
      </c>
      <c r="B1513">
        <v>3</v>
      </c>
      <c r="C1513">
        <v>3</v>
      </c>
      <c r="D1513">
        <v>10</v>
      </c>
      <c r="E1513" t="s">
        <v>29</v>
      </c>
      <c r="F1513">
        <v>200</v>
      </c>
      <c r="G1513">
        <v>3</v>
      </c>
      <c r="H1513">
        <v>20</v>
      </c>
      <c r="I1513" t="s">
        <v>26</v>
      </c>
      <c r="J1513" s="3">
        <v>143.17500100000001</v>
      </c>
      <c r="K1513" s="3">
        <v>18342.582999999999</v>
      </c>
      <c r="L1513" s="3">
        <v>19156.465</v>
      </c>
      <c r="M1513" s="3">
        <v>18342.582999999999</v>
      </c>
      <c r="N1513" s="3">
        <v>18342.582999999999</v>
      </c>
      <c r="O1513" s="4">
        <v>0</v>
      </c>
      <c r="P1513" s="4">
        <v>4.4371</v>
      </c>
      <c r="Q1513" s="4">
        <v>0</v>
      </c>
      <c r="R1513" s="5">
        <v>4.9399999999999999E-2</v>
      </c>
      <c r="S1513">
        <v>12</v>
      </c>
      <c r="T1513" t="b">
        <v>0</v>
      </c>
      <c r="U1513">
        <v>2</v>
      </c>
      <c r="V1513" s="4">
        <v>390.28</v>
      </c>
    </row>
    <row r="1514" spans="1:22" x14ac:dyDescent="0.35">
      <c r="A1514" t="s">
        <v>21</v>
      </c>
      <c r="B1514">
        <v>4</v>
      </c>
      <c r="C1514">
        <v>1</v>
      </c>
      <c r="D1514">
        <v>2</v>
      </c>
      <c r="E1514" t="s">
        <v>29</v>
      </c>
      <c r="F1514">
        <v>50</v>
      </c>
      <c r="G1514">
        <v>1</v>
      </c>
      <c r="H1514">
        <v>20</v>
      </c>
      <c r="I1514" t="s">
        <v>26</v>
      </c>
      <c r="J1514" s="3">
        <v>204.562712</v>
      </c>
      <c r="K1514" s="3">
        <v>21555.964</v>
      </c>
      <c r="L1514" s="3">
        <v>21555.964</v>
      </c>
      <c r="M1514" s="3">
        <v>21555.964</v>
      </c>
      <c r="N1514" s="3">
        <v>21555.964</v>
      </c>
      <c r="O1514" s="4">
        <v>0</v>
      </c>
      <c r="P1514" s="4">
        <v>0</v>
      </c>
      <c r="Q1514" s="4">
        <v>0</v>
      </c>
      <c r="R1514" s="5">
        <v>1E-4</v>
      </c>
      <c r="S1514">
        <v>1</v>
      </c>
      <c r="T1514" t="b">
        <v>0</v>
      </c>
      <c r="U1514">
        <v>1</v>
      </c>
      <c r="V1514" s="4">
        <v>29.07</v>
      </c>
    </row>
    <row r="1515" spans="1:22" x14ac:dyDescent="0.35">
      <c r="A1515" t="s">
        <v>21</v>
      </c>
      <c r="B1515">
        <v>4</v>
      </c>
      <c r="C1515">
        <v>1</v>
      </c>
      <c r="D1515">
        <v>2</v>
      </c>
      <c r="E1515" t="s">
        <v>29</v>
      </c>
      <c r="F1515">
        <v>50</v>
      </c>
      <c r="G1515">
        <v>3</v>
      </c>
      <c r="H1515">
        <v>20</v>
      </c>
      <c r="I1515" t="s">
        <v>26</v>
      </c>
      <c r="J1515" s="3">
        <v>204.562712</v>
      </c>
      <c r="K1515" s="3">
        <v>21555.964</v>
      </c>
      <c r="L1515" s="3">
        <v>21555.964</v>
      </c>
      <c r="M1515" s="3">
        <v>21555.964</v>
      </c>
      <c r="N1515" s="3">
        <v>21555.964</v>
      </c>
      <c r="O1515" s="4">
        <v>0</v>
      </c>
      <c r="P1515" s="4">
        <v>0</v>
      </c>
      <c r="Q1515" s="4">
        <v>0</v>
      </c>
      <c r="R1515" s="5">
        <v>1E-4</v>
      </c>
      <c r="S1515">
        <v>1</v>
      </c>
      <c r="T1515" t="b">
        <v>0</v>
      </c>
      <c r="U1515">
        <v>1</v>
      </c>
      <c r="V1515" s="4">
        <v>85.69</v>
      </c>
    </row>
    <row r="1516" spans="1:22" x14ac:dyDescent="0.35">
      <c r="A1516" t="s">
        <v>21</v>
      </c>
      <c r="B1516">
        <v>4</v>
      </c>
      <c r="C1516">
        <v>1</v>
      </c>
      <c r="D1516">
        <v>2</v>
      </c>
      <c r="E1516" t="s">
        <v>29</v>
      </c>
      <c r="F1516">
        <v>200</v>
      </c>
      <c r="G1516">
        <v>1</v>
      </c>
      <c r="H1516">
        <v>20</v>
      </c>
      <c r="I1516" t="s">
        <v>26</v>
      </c>
      <c r="J1516" s="3">
        <v>72.617748000000006</v>
      </c>
      <c r="K1516" s="3">
        <v>21555.964</v>
      </c>
      <c r="L1516" s="3">
        <v>21555.964</v>
      </c>
      <c r="M1516" s="3">
        <v>21555.964</v>
      </c>
      <c r="N1516" s="3">
        <v>21555.964</v>
      </c>
      <c r="O1516" s="4">
        <v>0</v>
      </c>
      <c r="P1516" s="4">
        <v>0</v>
      </c>
      <c r="Q1516" s="4">
        <v>0</v>
      </c>
      <c r="R1516" s="5">
        <v>6.1000000000000004E-3</v>
      </c>
      <c r="S1516">
        <v>1</v>
      </c>
      <c r="T1516" t="b">
        <v>0</v>
      </c>
      <c r="U1516">
        <v>1</v>
      </c>
      <c r="V1516" s="4">
        <v>83</v>
      </c>
    </row>
    <row r="1517" spans="1:22" x14ac:dyDescent="0.35">
      <c r="A1517" t="s">
        <v>21</v>
      </c>
      <c r="B1517">
        <v>4</v>
      </c>
      <c r="C1517">
        <v>1</v>
      </c>
      <c r="D1517">
        <v>2</v>
      </c>
      <c r="E1517" t="s">
        <v>29</v>
      </c>
      <c r="F1517">
        <v>200</v>
      </c>
      <c r="G1517">
        <v>3</v>
      </c>
      <c r="H1517">
        <v>20</v>
      </c>
      <c r="I1517" t="s">
        <v>26</v>
      </c>
      <c r="J1517" s="3">
        <v>72.617748000000006</v>
      </c>
      <c r="K1517" s="3">
        <v>21555.964</v>
      </c>
      <c r="L1517" s="3">
        <v>21555.964</v>
      </c>
      <c r="M1517" s="3">
        <v>21555.964</v>
      </c>
      <c r="N1517" s="3">
        <v>21555.964</v>
      </c>
      <c r="O1517" s="4">
        <v>0</v>
      </c>
      <c r="P1517" s="4">
        <v>0</v>
      </c>
      <c r="Q1517" s="4">
        <v>0</v>
      </c>
      <c r="R1517" s="5">
        <v>6.1000000000000004E-3</v>
      </c>
      <c r="S1517">
        <v>1</v>
      </c>
      <c r="T1517" t="b">
        <v>0</v>
      </c>
      <c r="U1517">
        <v>1</v>
      </c>
      <c r="V1517" s="4">
        <v>252.53</v>
      </c>
    </row>
    <row r="1518" spans="1:22" x14ac:dyDescent="0.35">
      <c r="A1518" t="s">
        <v>21</v>
      </c>
      <c r="B1518">
        <v>4</v>
      </c>
      <c r="C1518">
        <v>1</v>
      </c>
      <c r="D1518">
        <v>5</v>
      </c>
      <c r="E1518" t="s">
        <v>29</v>
      </c>
      <c r="F1518">
        <v>50</v>
      </c>
      <c r="G1518">
        <v>1</v>
      </c>
      <c r="H1518">
        <v>20</v>
      </c>
      <c r="I1518" t="s">
        <v>26</v>
      </c>
      <c r="J1518" s="3">
        <v>507.565449</v>
      </c>
      <c r="K1518" s="3" t="s">
        <v>24</v>
      </c>
      <c r="L1518" s="3" t="s">
        <v>24</v>
      </c>
      <c r="M1518" s="3" t="s">
        <v>24</v>
      </c>
      <c r="N1518" s="3">
        <v>21555.964</v>
      </c>
      <c r="O1518" s="4"/>
      <c r="P1518" s="4"/>
      <c r="Q1518" s="4"/>
      <c r="R1518" s="5">
        <v>0</v>
      </c>
      <c r="S1518">
        <v>0</v>
      </c>
      <c r="T1518" t="b">
        <v>1</v>
      </c>
      <c r="U1518">
        <v>-1</v>
      </c>
      <c r="V1518" s="4">
        <v>29.09</v>
      </c>
    </row>
    <row r="1519" spans="1:22" x14ac:dyDescent="0.35">
      <c r="A1519" t="s">
        <v>21</v>
      </c>
      <c r="B1519">
        <v>4</v>
      </c>
      <c r="C1519">
        <v>1</v>
      </c>
      <c r="D1519">
        <v>5</v>
      </c>
      <c r="E1519" t="s">
        <v>29</v>
      </c>
      <c r="F1519">
        <v>50</v>
      </c>
      <c r="G1519">
        <v>3</v>
      </c>
      <c r="H1519">
        <v>20</v>
      </c>
      <c r="I1519" t="s">
        <v>26</v>
      </c>
      <c r="J1519" s="3">
        <v>507.565449</v>
      </c>
      <c r="K1519" s="3" t="s">
        <v>24</v>
      </c>
      <c r="L1519" s="3" t="s">
        <v>24</v>
      </c>
      <c r="M1519" s="3" t="s">
        <v>24</v>
      </c>
      <c r="N1519" s="3">
        <v>21555.964</v>
      </c>
      <c r="O1519" s="4"/>
      <c r="P1519" s="4"/>
      <c r="Q1519" s="4"/>
      <c r="R1519" s="5">
        <v>0</v>
      </c>
      <c r="S1519">
        <v>0</v>
      </c>
      <c r="T1519" t="b">
        <v>1</v>
      </c>
      <c r="U1519">
        <v>-1</v>
      </c>
      <c r="V1519" s="4">
        <v>85.72</v>
      </c>
    </row>
    <row r="1520" spans="1:22" x14ac:dyDescent="0.35">
      <c r="A1520" t="s">
        <v>21</v>
      </c>
      <c r="B1520">
        <v>4</v>
      </c>
      <c r="C1520">
        <v>1</v>
      </c>
      <c r="D1520">
        <v>5</v>
      </c>
      <c r="E1520" t="s">
        <v>29</v>
      </c>
      <c r="F1520">
        <v>200</v>
      </c>
      <c r="G1520">
        <v>1</v>
      </c>
      <c r="H1520">
        <v>20</v>
      </c>
      <c r="I1520" t="s">
        <v>26</v>
      </c>
      <c r="J1520" s="3">
        <v>168.443265</v>
      </c>
      <c r="K1520" s="3">
        <v>21555.964</v>
      </c>
      <c r="L1520" s="3">
        <v>21555.964</v>
      </c>
      <c r="M1520" s="3">
        <v>21555.964</v>
      </c>
      <c r="N1520" s="3">
        <v>21555.964</v>
      </c>
      <c r="O1520" s="4">
        <v>0</v>
      </c>
      <c r="P1520" s="4">
        <v>0</v>
      </c>
      <c r="Q1520" s="4">
        <v>0</v>
      </c>
      <c r="R1520" s="5">
        <v>5.8999999999999999E-3</v>
      </c>
      <c r="S1520">
        <v>1</v>
      </c>
      <c r="T1520" t="b">
        <v>0</v>
      </c>
      <c r="U1520">
        <v>1</v>
      </c>
      <c r="V1520" s="4">
        <v>83.37</v>
      </c>
    </row>
    <row r="1521" spans="1:22" x14ac:dyDescent="0.35">
      <c r="A1521" t="s">
        <v>21</v>
      </c>
      <c r="B1521">
        <v>4</v>
      </c>
      <c r="C1521">
        <v>1</v>
      </c>
      <c r="D1521">
        <v>5</v>
      </c>
      <c r="E1521" t="s">
        <v>29</v>
      </c>
      <c r="F1521">
        <v>200</v>
      </c>
      <c r="G1521">
        <v>3</v>
      </c>
      <c r="H1521">
        <v>20</v>
      </c>
      <c r="I1521" t="s">
        <v>26</v>
      </c>
      <c r="J1521" s="3">
        <v>168.443265</v>
      </c>
      <c r="K1521" s="3">
        <v>21555.964</v>
      </c>
      <c r="L1521" s="3">
        <v>21555.964</v>
      </c>
      <c r="M1521" s="3">
        <v>21555.964</v>
      </c>
      <c r="N1521" s="3">
        <v>21555.964</v>
      </c>
      <c r="O1521" s="4">
        <v>0</v>
      </c>
      <c r="P1521" s="4">
        <v>0</v>
      </c>
      <c r="Q1521" s="4">
        <v>0</v>
      </c>
      <c r="R1521" s="5">
        <v>5.8999999999999999E-3</v>
      </c>
      <c r="S1521">
        <v>1</v>
      </c>
      <c r="T1521" t="b">
        <v>0</v>
      </c>
      <c r="U1521">
        <v>1</v>
      </c>
      <c r="V1521" s="4">
        <v>253.11</v>
      </c>
    </row>
    <row r="1522" spans="1:22" x14ac:dyDescent="0.35">
      <c r="A1522" t="s">
        <v>21</v>
      </c>
      <c r="B1522">
        <v>4</v>
      </c>
      <c r="C1522">
        <v>1</v>
      </c>
      <c r="D1522">
        <v>10</v>
      </c>
      <c r="E1522" t="s">
        <v>29</v>
      </c>
      <c r="F1522">
        <v>50</v>
      </c>
      <c r="G1522">
        <v>1</v>
      </c>
      <c r="H1522">
        <v>20</v>
      </c>
      <c r="I1522" t="s">
        <v>26</v>
      </c>
      <c r="J1522" s="3">
        <v>344.005898</v>
      </c>
      <c r="K1522" s="3">
        <v>21555.964</v>
      </c>
      <c r="L1522" s="3">
        <v>21555.964</v>
      </c>
      <c r="M1522" s="3">
        <v>21555.964</v>
      </c>
      <c r="N1522" s="3">
        <v>21555.964</v>
      </c>
      <c r="O1522" s="4">
        <v>0</v>
      </c>
      <c r="P1522" s="4">
        <v>0</v>
      </c>
      <c r="Q1522" s="4">
        <v>0</v>
      </c>
      <c r="R1522" s="5">
        <v>5.1999999999999998E-3</v>
      </c>
      <c r="S1522">
        <v>1</v>
      </c>
      <c r="T1522" t="b">
        <v>0</v>
      </c>
      <c r="U1522">
        <v>1</v>
      </c>
      <c r="V1522" s="4">
        <v>28.89</v>
      </c>
    </row>
    <row r="1523" spans="1:22" x14ac:dyDescent="0.35">
      <c r="A1523" t="s">
        <v>21</v>
      </c>
      <c r="B1523">
        <v>4</v>
      </c>
      <c r="C1523">
        <v>1</v>
      </c>
      <c r="D1523">
        <v>10</v>
      </c>
      <c r="E1523" t="s">
        <v>29</v>
      </c>
      <c r="F1523">
        <v>50</v>
      </c>
      <c r="G1523">
        <v>3</v>
      </c>
      <c r="H1523">
        <v>20</v>
      </c>
      <c r="I1523" t="s">
        <v>26</v>
      </c>
      <c r="J1523" s="3">
        <v>344.005898</v>
      </c>
      <c r="K1523" s="3">
        <v>21555.964</v>
      </c>
      <c r="L1523" s="3">
        <v>21555.964</v>
      </c>
      <c r="M1523" s="3">
        <v>21555.964</v>
      </c>
      <c r="N1523" s="3">
        <v>21555.964</v>
      </c>
      <c r="O1523" s="4">
        <v>0</v>
      </c>
      <c r="P1523" s="4">
        <v>0</v>
      </c>
      <c r="Q1523" s="4">
        <v>0</v>
      </c>
      <c r="R1523" s="5">
        <v>5.1999999999999998E-3</v>
      </c>
      <c r="S1523">
        <v>1</v>
      </c>
      <c r="T1523" t="b">
        <v>0</v>
      </c>
      <c r="U1523">
        <v>1</v>
      </c>
      <c r="V1523" s="4">
        <v>86</v>
      </c>
    </row>
    <row r="1524" spans="1:22" x14ac:dyDescent="0.35">
      <c r="A1524" t="s">
        <v>21</v>
      </c>
      <c r="B1524">
        <v>4</v>
      </c>
      <c r="C1524">
        <v>1</v>
      </c>
      <c r="D1524">
        <v>10</v>
      </c>
      <c r="E1524" t="s">
        <v>29</v>
      </c>
      <c r="F1524">
        <v>200</v>
      </c>
      <c r="G1524">
        <v>1</v>
      </c>
      <c r="H1524">
        <v>20</v>
      </c>
      <c r="I1524" t="s">
        <v>26</v>
      </c>
      <c r="J1524" s="3">
        <v>345.413656</v>
      </c>
      <c r="K1524" s="3">
        <v>21555.964</v>
      </c>
      <c r="L1524" s="3">
        <v>21555.964</v>
      </c>
      <c r="M1524" s="3">
        <v>21555.964</v>
      </c>
      <c r="N1524" s="3">
        <v>21555.964</v>
      </c>
      <c r="O1524" s="4">
        <v>0</v>
      </c>
      <c r="P1524" s="4">
        <v>0</v>
      </c>
      <c r="Q1524" s="4">
        <v>0</v>
      </c>
      <c r="R1524" s="5">
        <v>5.1000000000000004E-3</v>
      </c>
      <c r="S1524">
        <v>1</v>
      </c>
      <c r="T1524" t="b">
        <v>0</v>
      </c>
      <c r="U1524">
        <v>1</v>
      </c>
      <c r="V1524" s="4">
        <v>82.76</v>
      </c>
    </row>
    <row r="1525" spans="1:22" x14ac:dyDescent="0.35">
      <c r="A1525" t="s">
        <v>21</v>
      </c>
      <c r="B1525">
        <v>4</v>
      </c>
      <c r="C1525">
        <v>1</v>
      </c>
      <c r="D1525">
        <v>10</v>
      </c>
      <c r="E1525" t="s">
        <v>29</v>
      </c>
      <c r="F1525">
        <v>200</v>
      </c>
      <c r="G1525">
        <v>3</v>
      </c>
      <c r="H1525">
        <v>20</v>
      </c>
      <c r="I1525" t="s">
        <v>26</v>
      </c>
      <c r="J1525" s="3">
        <v>345.413656</v>
      </c>
      <c r="K1525" s="3">
        <v>21555.964</v>
      </c>
      <c r="L1525" s="3">
        <v>21555.964</v>
      </c>
      <c r="M1525" s="3">
        <v>21555.964</v>
      </c>
      <c r="N1525" s="3">
        <v>21555.964</v>
      </c>
      <c r="O1525" s="4">
        <v>0</v>
      </c>
      <c r="P1525" s="4">
        <v>0</v>
      </c>
      <c r="Q1525" s="4">
        <v>0</v>
      </c>
      <c r="R1525" s="5">
        <v>5.1000000000000004E-3</v>
      </c>
      <c r="S1525">
        <v>1</v>
      </c>
      <c r="T1525" t="b">
        <v>0</v>
      </c>
      <c r="U1525">
        <v>1</v>
      </c>
      <c r="V1525" s="4">
        <v>252.01</v>
      </c>
    </row>
    <row r="1526" spans="1:22" x14ac:dyDescent="0.35">
      <c r="A1526" t="s">
        <v>21</v>
      </c>
      <c r="B1526">
        <v>4</v>
      </c>
      <c r="C1526">
        <v>3</v>
      </c>
      <c r="D1526">
        <v>2</v>
      </c>
      <c r="E1526" t="s">
        <v>29</v>
      </c>
      <c r="F1526">
        <v>50</v>
      </c>
      <c r="G1526">
        <v>1</v>
      </c>
      <c r="H1526">
        <v>20</v>
      </c>
      <c r="I1526" t="s">
        <v>26</v>
      </c>
      <c r="J1526" s="3">
        <v>210.75389100000001</v>
      </c>
      <c r="K1526" s="3">
        <v>21555.964</v>
      </c>
      <c r="L1526" s="3">
        <v>21555.964</v>
      </c>
      <c r="M1526" s="3">
        <v>21555.964</v>
      </c>
      <c r="N1526" s="3">
        <v>21555.964</v>
      </c>
      <c r="O1526" s="4">
        <v>0</v>
      </c>
      <c r="P1526" s="4">
        <v>0</v>
      </c>
      <c r="Q1526" s="4">
        <v>0</v>
      </c>
      <c r="R1526" s="5">
        <v>2.0000000000000001E-4</v>
      </c>
      <c r="S1526">
        <v>1</v>
      </c>
      <c r="T1526" t="b">
        <v>0</v>
      </c>
      <c r="U1526">
        <v>1</v>
      </c>
      <c r="V1526" s="4">
        <v>44.63</v>
      </c>
    </row>
    <row r="1527" spans="1:22" x14ac:dyDescent="0.35">
      <c r="A1527" t="s">
        <v>21</v>
      </c>
      <c r="B1527">
        <v>4</v>
      </c>
      <c r="C1527">
        <v>3</v>
      </c>
      <c r="D1527">
        <v>2</v>
      </c>
      <c r="E1527" t="s">
        <v>29</v>
      </c>
      <c r="F1527">
        <v>50</v>
      </c>
      <c r="G1527">
        <v>3</v>
      </c>
      <c r="H1527">
        <v>20</v>
      </c>
      <c r="I1527" t="s">
        <v>26</v>
      </c>
      <c r="J1527" s="3">
        <v>210.75389100000001</v>
      </c>
      <c r="K1527" s="3">
        <v>21555.964</v>
      </c>
      <c r="L1527" s="3">
        <v>21555.964</v>
      </c>
      <c r="M1527" s="3">
        <v>21555.964</v>
      </c>
      <c r="N1527" s="3">
        <v>21555.964</v>
      </c>
      <c r="O1527" s="4">
        <v>0</v>
      </c>
      <c r="P1527" s="4">
        <v>0</v>
      </c>
      <c r="Q1527" s="4">
        <v>0</v>
      </c>
      <c r="R1527" s="5">
        <v>2.0000000000000001E-4</v>
      </c>
      <c r="S1527">
        <v>1</v>
      </c>
      <c r="T1527" t="b">
        <v>0</v>
      </c>
      <c r="U1527">
        <v>1</v>
      </c>
      <c r="V1527" s="4">
        <v>132.47</v>
      </c>
    </row>
    <row r="1528" spans="1:22" x14ac:dyDescent="0.35">
      <c r="A1528" t="s">
        <v>21</v>
      </c>
      <c r="B1528">
        <v>4</v>
      </c>
      <c r="C1528">
        <v>3</v>
      </c>
      <c r="D1528">
        <v>2</v>
      </c>
      <c r="E1528" t="s">
        <v>29</v>
      </c>
      <c r="F1528">
        <v>200</v>
      </c>
      <c r="G1528">
        <v>1</v>
      </c>
      <c r="H1528">
        <v>20</v>
      </c>
      <c r="I1528" t="s">
        <v>26</v>
      </c>
      <c r="J1528" s="3">
        <v>214.228521</v>
      </c>
      <c r="K1528" s="3" t="s">
        <v>24</v>
      </c>
      <c r="L1528" s="3" t="s">
        <v>24</v>
      </c>
      <c r="M1528" s="3" t="s">
        <v>24</v>
      </c>
      <c r="N1528" s="3">
        <v>21555.964</v>
      </c>
      <c r="O1528" s="4"/>
      <c r="P1528" s="4"/>
      <c r="Q1528" s="4"/>
      <c r="R1528" s="5">
        <v>0</v>
      </c>
      <c r="S1528">
        <v>0</v>
      </c>
      <c r="T1528" t="b">
        <v>1</v>
      </c>
      <c r="U1528">
        <v>-1</v>
      </c>
      <c r="V1528" s="4">
        <v>132.59</v>
      </c>
    </row>
    <row r="1529" spans="1:22" x14ac:dyDescent="0.35">
      <c r="A1529" t="s">
        <v>21</v>
      </c>
      <c r="B1529">
        <v>4</v>
      </c>
      <c r="C1529">
        <v>3</v>
      </c>
      <c r="D1529">
        <v>2</v>
      </c>
      <c r="E1529" t="s">
        <v>29</v>
      </c>
      <c r="F1529">
        <v>200</v>
      </c>
      <c r="G1529">
        <v>3</v>
      </c>
      <c r="H1529">
        <v>20</v>
      </c>
      <c r="I1529" t="s">
        <v>26</v>
      </c>
      <c r="J1529" s="3">
        <v>108.922816</v>
      </c>
      <c r="K1529" s="3">
        <v>21555.964</v>
      </c>
      <c r="L1529" s="3">
        <v>21555.964</v>
      </c>
      <c r="M1529" s="3">
        <v>21555.964</v>
      </c>
      <c r="N1529" s="3">
        <v>21555.964</v>
      </c>
      <c r="O1529" s="4">
        <v>0</v>
      </c>
      <c r="P1529" s="4">
        <v>0</v>
      </c>
      <c r="Q1529" s="4">
        <v>0</v>
      </c>
      <c r="R1529" s="5">
        <v>3.6900000000000002E-2</v>
      </c>
      <c r="S1529">
        <v>1</v>
      </c>
      <c r="T1529" t="b">
        <v>0</v>
      </c>
      <c r="U1529">
        <v>1</v>
      </c>
      <c r="V1529" s="4">
        <v>395.96</v>
      </c>
    </row>
    <row r="1530" spans="1:22" x14ac:dyDescent="0.35">
      <c r="A1530" t="s">
        <v>21</v>
      </c>
      <c r="B1530">
        <v>4</v>
      </c>
      <c r="C1530">
        <v>3</v>
      </c>
      <c r="D1530">
        <v>5</v>
      </c>
      <c r="E1530" t="s">
        <v>29</v>
      </c>
      <c r="F1530">
        <v>50</v>
      </c>
      <c r="G1530">
        <v>1</v>
      </c>
      <c r="H1530">
        <v>20</v>
      </c>
      <c r="I1530" t="s">
        <v>26</v>
      </c>
      <c r="J1530" s="3">
        <v>523.11740099999997</v>
      </c>
      <c r="K1530" s="3" t="s">
        <v>24</v>
      </c>
      <c r="L1530" s="3" t="s">
        <v>24</v>
      </c>
      <c r="M1530" s="3" t="s">
        <v>24</v>
      </c>
      <c r="N1530" s="3">
        <v>21555.964</v>
      </c>
      <c r="O1530" s="4"/>
      <c r="P1530" s="4"/>
      <c r="Q1530" s="4"/>
      <c r="R1530" s="5">
        <v>0</v>
      </c>
      <c r="S1530">
        <v>0</v>
      </c>
      <c r="T1530" t="b">
        <v>1</v>
      </c>
      <c r="U1530">
        <v>-1</v>
      </c>
      <c r="V1530" s="4">
        <v>45.08</v>
      </c>
    </row>
    <row r="1531" spans="1:22" x14ac:dyDescent="0.35">
      <c r="A1531" t="s">
        <v>21</v>
      </c>
      <c r="B1531">
        <v>4</v>
      </c>
      <c r="C1531">
        <v>3</v>
      </c>
      <c r="D1531">
        <v>5</v>
      </c>
      <c r="E1531" t="s">
        <v>29</v>
      </c>
      <c r="F1531">
        <v>50</v>
      </c>
      <c r="G1531">
        <v>3</v>
      </c>
      <c r="H1531">
        <v>20</v>
      </c>
      <c r="I1531" t="s">
        <v>26</v>
      </c>
      <c r="J1531" s="3">
        <v>487.40430900000001</v>
      </c>
      <c r="K1531" s="3" t="s">
        <v>24</v>
      </c>
      <c r="L1531" s="3" t="s">
        <v>24</v>
      </c>
      <c r="M1531" s="3" t="s">
        <v>24</v>
      </c>
      <c r="N1531" s="3">
        <v>21555.964</v>
      </c>
      <c r="O1531" s="4"/>
      <c r="P1531" s="4"/>
      <c r="Q1531" s="4"/>
      <c r="R1531" s="5">
        <v>0</v>
      </c>
      <c r="S1531">
        <v>0</v>
      </c>
      <c r="T1531" t="b">
        <v>1</v>
      </c>
      <c r="U1531">
        <v>-1</v>
      </c>
      <c r="V1531" s="4">
        <v>132.86000000000001</v>
      </c>
    </row>
    <row r="1532" spans="1:22" x14ac:dyDescent="0.35">
      <c r="A1532" t="s">
        <v>21</v>
      </c>
      <c r="B1532">
        <v>4</v>
      </c>
      <c r="C1532">
        <v>3</v>
      </c>
      <c r="D1532">
        <v>5</v>
      </c>
      <c r="E1532" t="s">
        <v>29</v>
      </c>
      <c r="F1532">
        <v>200</v>
      </c>
      <c r="G1532">
        <v>1</v>
      </c>
      <c r="H1532">
        <v>20</v>
      </c>
      <c r="I1532" t="s">
        <v>26</v>
      </c>
      <c r="J1532" s="3">
        <v>520.56563700000004</v>
      </c>
      <c r="K1532" s="3" t="s">
        <v>24</v>
      </c>
      <c r="L1532" s="3" t="s">
        <v>24</v>
      </c>
      <c r="M1532" s="3" t="s">
        <v>24</v>
      </c>
      <c r="N1532" s="3">
        <v>21555.964</v>
      </c>
      <c r="O1532" s="4"/>
      <c r="P1532" s="4"/>
      <c r="Q1532" s="4"/>
      <c r="R1532" s="5">
        <v>0</v>
      </c>
      <c r="S1532">
        <v>0</v>
      </c>
      <c r="T1532" t="b">
        <v>1</v>
      </c>
      <c r="U1532">
        <v>-1</v>
      </c>
      <c r="V1532" s="4">
        <v>133.24</v>
      </c>
    </row>
    <row r="1533" spans="1:22" x14ac:dyDescent="0.35">
      <c r="A1533" t="s">
        <v>21</v>
      </c>
      <c r="B1533">
        <v>4</v>
      </c>
      <c r="C1533">
        <v>3</v>
      </c>
      <c r="D1533">
        <v>5</v>
      </c>
      <c r="E1533" t="s">
        <v>29</v>
      </c>
      <c r="F1533">
        <v>200</v>
      </c>
      <c r="G1533">
        <v>3</v>
      </c>
      <c r="H1533">
        <v>20</v>
      </c>
      <c r="I1533" t="s">
        <v>26</v>
      </c>
      <c r="J1533" s="3">
        <v>519.87619800000004</v>
      </c>
      <c r="K1533" s="3" t="s">
        <v>24</v>
      </c>
      <c r="L1533" s="3" t="s">
        <v>24</v>
      </c>
      <c r="M1533" s="3" t="s">
        <v>24</v>
      </c>
      <c r="N1533" s="3">
        <v>21555.964</v>
      </c>
      <c r="O1533" s="4"/>
      <c r="P1533" s="4"/>
      <c r="Q1533" s="4"/>
      <c r="R1533" s="5">
        <v>0</v>
      </c>
      <c r="S1533">
        <v>0</v>
      </c>
      <c r="T1533" t="b">
        <v>1</v>
      </c>
      <c r="U1533">
        <v>-1</v>
      </c>
      <c r="V1533" s="4">
        <v>393.99</v>
      </c>
    </row>
    <row r="1534" spans="1:22" x14ac:dyDescent="0.35">
      <c r="A1534" t="s">
        <v>21</v>
      </c>
      <c r="B1534">
        <v>4</v>
      </c>
      <c r="C1534">
        <v>3</v>
      </c>
      <c r="D1534">
        <v>10</v>
      </c>
      <c r="E1534" t="s">
        <v>29</v>
      </c>
      <c r="F1534">
        <v>50</v>
      </c>
      <c r="G1534">
        <v>1</v>
      </c>
      <c r="H1534">
        <v>20</v>
      </c>
      <c r="I1534" t="s">
        <v>26</v>
      </c>
      <c r="J1534" s="3">
        <v>1019.246629</v>
      </c>
      <c r="K1534" s="3">
        <v>21555.964</v>
      </c>
      <c r="L1534" s="3">
        <v>21555.964</v>
      </c>
      <c r="M1534" s="3">
        <v>21555.964</v>
      </c>
      <c r="N1534" s="3">
        <v>21555.964</v>
      </c>
      <c r="O1534" s="4">
        <v>0</v>
      </c>
      <c r="P1534" s="4">
        <v>0</v>
      </c>
      <c r="Q1534" s="4">
        <v>0</v>
      </c>
      <c r="R1534" s="5">
        <v>1E-4</v>
      </c>
      <c r="S1534">
        <v>1</v>
      </c>
      <c r="T1534" t="b">
        <v>0</v>
      </c>
      <c r="U1534">
        <v>1</v>
      </c>
      <c r="V1534" s="4">
        <v>45.14</v>
      </c>
    </row>
    <row r="1535" spans="1:22" x14ac:dyDescent="0.35">
      <c r="A1535" t="s">
        <v>21</v>
      </c>
      <c r="B1535">
        <v>4</v>
      </c>
      <c r="C1535">
        <v>3</v>
      </c>
      <c r="D1535">
        <v>10</v>
      </c>
      <c r="E1535" t="s">
        <v>29</v>
      </c>
      <c r="F1535">
        <v>50</v>
      </c>
      <c r="G1535">
        <v>3</v>
      </c>
      <c r="H1535">
        <v>20</v>
      </c>
      <c r="I1535" t="s">
        <v>26</v>
      </c>
      <c r="J1535" s="3">
        <v>1019.246629</v>
      </c>
      <c r="K1535" s="3">
        <v>21555.964</v>
      </c>
      <c r="L1535" s="3">
        <v>21555.964</v>
      </c>
      <c r="M1535" s="3">
        <v>21555.964</v>
      </c>
      <c r="N1535" s="3">
        <v>21555.964</v>
      </c>
      <c r="O1535" s="4">
        <v>0</v>
      </c>
      <c r="P1535" s="4">
        <v>0</v>
      </c>
      <c r="Q1535" s="4">
        <v>0</v>
      </c>
      <c r="R1535" s="5">
        <v>1E-4</v>
      </c>
      <c r="S1535">
        <v>1</v>
      </c>
      <c r="T1535" t="b">
        <v>0</v>
      </c>
      <c r="U1535">
        <v>1</v>
      </c>
      <c r="V1535" s="4">
        <v>133.69</v>
      </c>
    </row>
    <row r="1536" spans="1:22" x14ac:dyDescent="0.35">
      <c r="A1536" t="s">
        <v>21</v>
      </c>
      <c r="B1536">
        <v>4</v>
      </c>
      <c r="C1536">
        <v>3</v>
      </c>
      <c r="D1536">
        <v>10</v>
      </c>
      <c r="E1536" t="s">
        <v>29</v>
      </c>
      <c r="F1536">
        <v>200</v>
      </c>
      <c r="G1536">
        <v>1</v>
      </c>
      <c r="H1536">
        <v>20</v>
      </c>
      <c r="I1536" t="s">
        <v>26</v>
      </c>
      <c r="J1536" s="3">
        <v>1017.974865</v>
      </c>
      <c r="K1536" s="3">
        <v>21555.964</v>
      </c>
      <c r="L1536" s="3">
        <v>21555.964</v>
      </c>
      <c r="M1536" s="3">
        <v>21555.964</v>
      </c>
      <c r="N1536" s="3">
        <v>21555.964</v>
      </c>
      <c r="O1536" s="4">
        <v>0</v>
      </c>
      <c r="P1536" s="4">
        <v>0</v>
      </c>
      <c r="Q1536" s="4">
        <v>0</v>
      </c>
      <c r="R1536" s="5">
        <v>4.0000000000000002E-4</v>
      </c>
      <c r="S1536">
        <v>1</v>
      </c>
      <c r="T1536" t="b">
        <v>0</v>
      </c>
      <c r="U1536">
        <v>1</v>
      </c>
      <c r="V1536" s="4">
        <v>131.97999999999999</v>
      </c>
    </row>
    <row r="1537" spans="1:22" x14ac:dyDescent="0.35">
      <c r="A1537" t="s">
        <v>21</v>
      </c>
      <c r="B1537">
        <v>4</v>
      </c>
      <c r="C1537">
        <v>3</v>
      </c>
      <c r="D1537">
        <v>10</v>
      </c>
      <c r="E1537" t="s">
        <v>29</v>
      </c>
      <c r="F1537">
        <v>200</v>
      </c>
      <c r="G1537">
        <v>3</v>
      </c>
      <c r="H1537">
        <v>20</v>
      </c>
      <c r="I1537" t="s">
        <v>26</v>
      </c>
      <c r="J1537" s="3">
        <v>1017.974865</v>
      </c>
      <c r="K1537" s="3">
        <v>21555.964</v>
      </c>
      <c r="L1537" s="3">
        <v>21555.964</v>
      </c>
      <c r="M1537" s="3">
        <v>21555.964</v>
      </c>
      <c r="N1537" s="3">
        <v>21555.964</v>
      </c>
      <c r="O1537" s="4">
        <v>0</v>
      </c>
      <c r="P1537" s="4">
        <v>0</v>
      </c>
      <c r="Q1537" s="4">
        <v>0</v>
      </c>
      <c r="R1537" s="5">
        <v>4.0000000000000002E-4</v>
      </c>
      <c r="S1537">
        <v>1</v>
      </c>
      <c r="T1537" t="b">
        <v>0</v>
      </c>
      <c r="U1537">
        <v>1</v>
      </c>
      <c r="V1537" s="4">
        <v>397.19</v>
      </c>
    </row>
    <row r="1538" spans="1:22" x14ac:dyDescent="0.35">
      <c r="A1538" t="s">
        <v>27</v>
      </c>
      <c r="B1538">
        <v>1</v>
      </c>
      <c r="C1538">
        <v>1</v>
      </c>
      <c r="D1538">
        <v>2</v>
      </c>
      <c r="E1538" t="s">
        <v>29</v>
      </c>
      <c r="F1538">
        <v>50</v>
      </c>
      <c r="G1538">
        <v>1</v>
      </c>
      <c r="H1538">
        <v>16</v>
      </c>
      <c r="I1538" t="s">
        <v>23</v>
      </c>
      <c r="J1538" s="3">
        <v>118.768895</v>
      </c>
      <c r="K1538" s="3" t="s">
        <v>24</v>
      </c>
      <c r="L1538" s="3" t="s">
        <v>24</v>
      </c>
      <c r="M1538" s="3" t="s">
        <v>24</v>
      </c>
      <c r="N1538" s="3">
        <v>17499.967000000001</v>
      </c>
      <c r="O1538" s="4"/>
      <c r="P1538" s="4"/>
      <c r="Q1538" s="4"/>
      <c r="R1538" s="5">
        <v>0</v>
      </c>
      <c r="S1538">
        <v>0</v>
      </c>
      <c r="T1538" t="b">
        <v>1</v>
      </c>
      <c r="U1538">
        <v>-1</v>
      </c>
      <c r="V1538" s="4">
        <v>25.65</v>
      </c>
    </row>
    <row r="1539" spans="1:22" x14ac:dyDescent="0.35">
      <c r="A1539" t="s">
        <v>27</v>
      </c>
      <c r="B1539">
        <v>1</v>
      </c>
      <c r="C1539">
        <v>1</v>
      </c>
      <c r="D1539">
        <v>2</v>
      </c>
      <c r="E1539" t="s">
        <v>29</v>
      </c>
      <c r="F1539">
        <v>50</v>
      </c>
      <c r="G1539">
        <v>3</v>
      </c>
      <c r="H1539">
        <v>16</v>
      </c>
      <c r="I1539" t="s">
        <v>23</v>
      </c>
      <c r="J1539" s="3">
        <v>118.768895</v>
      </c>
      <c r="K1539" s="3" t="s">
        <v>24</v>
      </c>
      <c r="L1539" s="3" t="s">
        <v>24</v>
      </c>
      <c r="M1539" s="3" t="s">
        <v>24</v>
      </c>
      <c r="N1539" s="3">
        <v>17499.967000000001</v>
      </c>
      <c r="O1539" s="4"/>
      <c r="P1539" s="4"/>
      <c r="Q1539" s="4"/>
      <c r="R1539" s="5">
        <v>0</v>
      </c>
      <c r="S1539">
        <v>0</v>
      </c>
      <c r="T1539" t="b">
        <v>1</v>
      </c>
      <c r="U1539">
        <v>-1</v>
      </c>
      <c r="V1539" s="4">
        <v>75.53</v>
      </c>
    </row>
    <row r="1540" spans="1:22" x14ac:dyDescent="0.35">
      <c r="A1540" t="s">
        <v>27</v>
      </c>
      <c r="B1540">
        <v>1</v>
      </c>
      <c r="C1540">
        <v>1</v>
      </c>
      <c r="D1540">
        <v>2</v>
      </c>
      <c r="E1540" t="s">
        <v>29</v>
      </c>
      <c r="F1540">
        <v>200</v>
      </c>
      <c r="G1540">
        <v>1</v>
      </c>
      <c r="H1540">
        <v>16</v>
      </c>
      <c r="I1540" t="s">
        <v>23</v>
      </c>
      <c r="J1540" s="3">
        <v>122.422982</v>
      </c>
      <c r="K1540" s="3">
        <v>19827.343000000001</v>
      </c>
      <c r="L1540" s="3">
        <v>19827.343000000001</v>
      </c>
      <c r="M1540" s="3">
        <v>19827.343000000001</v>
      </c>
      <c r="N1540" s="3">
        <v>17499.967000000001</v>
      </c>
      <c r="O1540" s="4">
        <v>13.299300000000001</v>
      </c>
      <c r="P1540" s="4">
        <v>13.299300000000001</v>
      </c>
      <c r="Q1540" s="4">
        <v>13.299300000000001</v>
      </c>
      <c r="R1540" s="5">
        <v>1E-4</v>
      </c>
      <c r="S1540">
        <v>1</v>
      </c>
      <c r="T1540" t="b">
        <v>0</v>
      </c>
      <c r="U1540">
        <v>1</v>
      </c>
      <c r="V1540" s="4">
        <v>75.3</v>
      </c>
    </row>
    <row r="1541" spans="1:22" x14ac:dyDescent="0.35">
      <c r="A1541" t="s">
        <v>27</v>
      </c>
      <c r="B1541">
        <v>1</v>
      </c>
      <c r="C1541">
        <v>1</v>
      </c>
      <c r="D1541">
        <v>2</v>
      </c>
      <c r="E1541" t="s">
        <v>29</v>
      </c>
      <c r="F1541">
        <v>200</v>
      </c>
      <c r="G1541">
        <v>3</v>
      </c>
      <c r="H1541">
        <v>16</v>
      </c>
      <c r="I1541" t="s">
        <v>23</v>
      </c>
      <c r="J1541" s="3">
        <v>122.422982</v>
      </c>
      <c r="K1541" s="3">
        <v>19827.343000000001</v>
      </c>
      <c r="L1541" s="3">
        <v>19827.343000000001</v>
      </c>
      <c r="M1541" s="3">
        <v>19827.343000000001</v>
      </c>
      <c r="N1541" s="3">
        <v>17499.967000000001</v>
      </c>
      <c r="O1541" s="4">
        <v>13.299300000000001</v>
      </c>
      <c r="P1541" s="4">
        <v>13.299300000000001</v>
      </c>
      <c r="Q1541" s="4">
        <v>13.299300000000001</v>
      </c>
      <c r="R1541" s="5">
        <v>1E-4</v>
      </c>
      <c r="S1541">
        <v>1</v>
      </c>
      <c r="T1541" t="b">
        <v>0</v>
      </c>
      <c r="U1541">
        <v>1</v>
      </c>
      <c r="V1541" s="4">
        <v>224.98</v>
      </c>
    </row>
    <row r="1542" spans="1:22" x14ac:dyDescent="0.35">
      <c r="A1542" t="s">
        <v>27</v>
      </c>
      <c r="B1542">
        <v>1</v>
      </c>
      <c r="C1542">
        <v>1</v>
      </c>
      <c r="D1542">
        <v>5</v>
      </c>
      <c r="E1542" t="s">
        <v>29</v>
      </c>
      <c r="F1542">
        <v>50</v>
      </c>
      <c r="G1542">
        <v>1</v>
      </c>
      <c r="H1542">
        <v>16</v>
      </c>
      <c r="I1542" t="s">
        <v>23</v>
      </c>
      <c r="J1542" s="3">
        <v>310.34690000000001</v>
      </c>
      <c r="K1542" s="3">
        <v>17499.967000000001</v>
      </c>
      <c r="L1542" s="3">
        <v>19827.343000000001</v>
      </c>
      <c r="M1542" s="3">
        <v>17499.967000000001</v>
      </c>
      <c r="N1542" s="3">
        <v>17499.967000000001</v>
      </c>
      <c r="O1542" s="4">
        <v>0</v>
      </c>
      <c r="P1542" s="4">
        <v>13.299300000000001</v>
      </c>
      <c r="Q1542" s="4">
        <v>0</v>
      </c>
      <c r="R1542" s="5">
        <v>1.1999999999999999E-3</v>
      </c>
      <c r="S1542">
        <v>7</v>
      </c>
      <c r="T1542" t="b">
        <v>0</v>
      </c>
      <c r="U1542">
        <v>6</v>
      </c>
      <c r="V1542" s="4">
        <v>25.74</v>
      </c>
    </row>
    <row r="1543" spans="1:22" x14ac:dyDescent="0.35">
      <c r="A1543" t="s">
        <v>27</v>
      </c>
      <c r="B1543">
        <v>1</v>
      </c>
      <c r="C1543">
        <v>1</v>
      </c>
      <c r="D1543">
        <v>5</v>
      </c>
      <c r="E1543" t="s">
        <v>29</v>
      </c>
      <c r="F1543">
        <v>50</v>
      </c>
      <c r="G1543">
        <v>3</v>
      </c>
      <c r="H1543">
        <v>16</v>
      </c>
      <c r="I1543" t="s">
        <v>23</v>
      </c>
      <c r="J1543" s="3">
        <v>310.34690000000001</v>
      </c>
      <c r="K1543" s="3">
        <v>17499.967000000001</v>
      </c>
      <c r="L1543" s="3">
        <v>19827.343000000001</v>
      </c>
      <c r="M1543" s="3">
        <v>17499.967000000001</v>
      </c>
      <c r="N1543" s="3">
        <v>17499.967000000001</v>
      </c>
      <c r="O1543" s="4">
        <v>0</v>
      </c>
      <c r="P1543" s="4">
        <v>13.299300000000001</v>
      </c>
      <c r="Q1543" s="4">
        <v>0</v>
      </c>
      <c r="R1543" s="5">
        <v>1.1999999999999999E-3</v>
      </c>
      <c r="S1543">
        <v>7</v>
      </c>
      <c r="T1543" t="b">
        <v>0</v>
      </c>
      <c r="U1543">
        <v>6</v>
      </c>
      <c r="V1543" s="4">
        <v>75.08</v>
      </c>
    </row>
    <row r="1544" spans="1:22" x14ac:dyDescent="0.35">
      <c r="A1544" t="s">
        <v>27</v>
      </c>
      <c r="B1544">
        <v>1</v>
      </c>
      <c r="C1544">
        <v>1</v>
      </c>
      <c r="D1544">
        <v>5</v>
      </c>
      <c r="E1544" t="s">
        <v>29</v>
      </c>
      <c r="F1544">
        <v>200</v>
      </c>
      <c r="G1544">
        <v>1</v>
      </c>
      <c r="H1544">
        <v>16</v>
      </c>
      <c r="I1544" t="s">
        <v>23</v>
      </c>
      <c r="J1544" s="3">
        <v>320.11532499999998</v>
      </c>
      <c r="K1544" s="3">
        <v>17499.967000000001</v>
      </c>
      <c r="L1544" s="3">
        <v>21908.135999999999</v>
      </c>
      <c r="M1544" s="3">
        <v>17499.967000000001</v>
      </c>
      <c r="N1544" s="3">
        <v>17499.967000000001</v>
      </c>
      <c r="O1544" s="4">
        <v>0</v>
      </c>
      <c r="P1544" s="4">
        <v>25.189599999999999</v>
      </c>
      <c r="Q1544" s="4">
        <v>0</v>
      </c>
      <c r="R1544" s="5">
        <v>1.1999999999999999E-3</v>
      </c>
      <c r="S1544">
        <v>10</v>
      </c>
      <c r="T1544" t="b">
        <v>0</v>
      </c>
      <c r="U1544">
        <v>8</v>
      </c>
      <c r="V1544" s="4">
        <v>75.599999999999994</v>
      </c>
    </row>
    <row r="1545" spans="1:22" x14ac:dyDescent="0.35">
      <c r="A1545" t="s">
        <v>27</v>
      </c>
      <c r="B1545">
        <v>1</v>
      </c>
      <c r="C1545">
        <v>1</v>
      </c>
      <c r="D1545">
        <v>5</v>
      </c>
      <c r="E1545" t="s">
        <v>29</v>
      </c>
      <c r="F1545">
        <v>200</v>
      </c>
      <c r="G1545">
        <v>3</v>
      </c>
      <c r="H1545">
        <v>16</v>
      </c>
      <c r="I1545" t="s">
        <v>23</v>
      </c>
      <c r="J1545" s="3">
        <v>318.053786</v>
      </c>
      <c r="K1545" s="3">
        <v>17560.769</v>
      </c>
      <c r="L1545" s="3">
        <v>21620.526999999998</v>
      </c>
      <c r="M1545" s="3">
        <v>17560.769</v>
      </c>
      <c r="N1545" s="3">
        <v>17499.967000000001</v>
      </c>
      <c r="O1545" s="4">
        <v>0.34739999999999999</v>
      </c>
      <c r="P1545" s="4">
        <v>23.546099999999999</v>
      </c>
      <c r="Q1545" s="4">
        <v>0.34739999999999999</v>
      </c>
      <c r="R1545" s="5">
        <v>1.1999999999999999E-3</v>
      </c>
      <c r="S1545">
        <v>9</v>
      </c>
      <c r="T1545" t="b">
        <v>0</v>
      </c>
      <c r="U1545">
        <v>2</v>
      </c>
      <c r="V1545" s="4">
        <v>224.11</v>
      </c>
    </row>
    <row r="1546" spans="1:22" x14ac:dyDescent="0.35">
      <c r="A1546" t="s">
        <v>27</v>
      </c>
      <c r="B1546">
        <v>1</v>
      </c>
      <c r="C1546">
        <v>1</v>
      </c>
      <c r="D1546">
        <v>10</v>
      </c>
      <c r="E1546" t="s">
        <v>29</v>
      </c>
      <c r="F1546">
        <v>50</v>
      </c>
      <c r="G1546">
        <v>1</v>
      </c>
      <c r="H1546">
        <v>16</v>
      </c>
      <c r="I1546" t="s">
        <v>23</v>
      </c>
      <c r="J1546" s="3">
        <v>624.81333299999994</v>
      </c>
      <c r="K1546" s="3">
        <v>19580.759999999998</v>
      </c>
      <c r="L1546" s="3">
        <v>19710.715</v>
      </c>
      <c r="M1546" s="3">
        <v>19580.759999999998</v>
      </c>
      <c r="N1546" s="3">
        <v>17499.967000000001</v>
      </c>
      <c r="O1546" s="4">
        <v>11.8903</v>
      </c>
      <c r="P1546" s="4">
        <v>12.632899999999999</v>
      </c>
      <c r="Q1546" s="4">
        <v>11.8903</v>
      </c>
      <c r="R1546" s="5">
        <v>5.0000000000000001E-4</v>
      </c>
      <c r="S1546">
        <v>5</v>
      </c>
      <c r="T1546" t="b">
        <v>0</v>
      </c>
      <c r="U1546">
        <v>5</v>
      </c>
      <c r="V1546" s="4">
        <v>26.3</v>
      </c>
    </row>
    <row r="1547" spans="1:22" x14ac:dyDescent="0.35">
      <c r="A1547" t="s">
        <v>27</v>
      </c>
      <c r="B1547">
        <v>1</v>
      </c>
      <c r="C1547">
        <v>1</v>
      </c>
      <c r="D1547">
        <v>10</v>
      </c>
      <c r="E1547" t="s">
        <v>29</v>
      </c>
      <c r="F1547">
        <v>50</v>
      </c>
      <c r="G1547">
        <v>3</v>
      </c>
      <c r="H1547">
        <v>16</v>
      </c>
      <c r="I1547" t="s">
        <v>23</v>
      </c>
      <c r="J1547" s="3">
        <v>624.81333299999994</v>
      </c>
      <c r="K1547" s="3">
        <v>19580.759999999998</v>
      </c>
      <c r="L1547" s="3">
        <v>19710.715</v>
      </c>
      <c r="M1547" s="3">
        <v>19580.759999999998</v>
      </c>
      <c r="N1547" s="3">
        <v>17499.967000000001</v>
      </c>
      <c r="O1547" s="4">
        <v>11.8903</v>
      </c>
      <c r="P1547" s="4">
        <v>12.632899999999999</v>
      </c>
      <c r="Q1547" s="4">
        <v>11.8903</v>
      </c>
      <c r="R1547" s="5">
        <v>5.0000000000000001E-4</v>
      </c>
      <c r="S1547">
        <v>5</v>
      </c>
      <c r="T1547" t="b">
        <v>0</v>
      </c>
      <c r="U1547">
        <v>5</v>
      </c>
      <c r="V1547" s="4">
        <v>75.92</v>
      </c>
    </row>
    <row r="1548" spans="1:22" x14ac:dyDescent="0.35">
      <c r="A1548" t="s">
        <v>27</v>
      </c>
      <c r="B1548">
        <v>1</v>
      </c>
      <c r="C1548">
        <v>1</v>
      </c>
      <c r="D1548">
        <v>10</v>
      </c>
      <c r="E1548" t="s">
        <v>29</v>
      </c>
      <c r="F1548">
        <v>200</v>
      </c>
      <c r="G1548">
        <v>1</v>
      </c>
      <c r="H1548">
        <v>16</v>
      </c>
      <c r="I1548" t="s">
        <v>23</v>
      </c>
      <c r="J1548" s="3">
        <v>604.80809299999999</v>
      </c>
      <c r="K1548" s="3" t="s">
        <v>24</v>
      </c>
      <c r="L1548" s="3" t="s">
        <v>24</v>
      </c>
      <c r="M1548" s="3" t="s">
        <v>24</v>
      </c>
      <c r="N1548" s="3">
        <v>17499.967000000001</v>
      </c>
      <c r="O1548" s="4"/>
      <c r="P1548" s="4"/>
      <c r="Q1548" s="4"/>
      <c r="R1548" s="5">
        <v>0</v>
      </c>
      <c r="S1548">
        <v>0</v>
      </c>
      <c r="T1548" t="b">
        <v>1</v>
      </c>
      <c r="U1548">
        <v>-1</v>
      </c>
      <c r="V1548" s="4">
        <v>75.349999999999994</v>
      </c>
    </row>
    <row r="1549" spans="1:22" x14ac:dyDescent="0.35">
      <c r="A1549" t="s">
        <v>27</v>
      </c>
      <c r="B1549">
        <v>1</v>
      </c>
      <c r="C1549">
        <v>1</v>
      </c>
      <c r="D1549">
        <v>10</v>
      </c>
      <c r="E1549" t="s">
        <v>29</v>
      </c>
      <c r="F1549">
        <v>200</v>
      </c>
      <c r="G1549">
        <v>3</v>
      </c>
      <c r="H1549">
        <v>16</v>
      </c>
      <c r="I1549" t="s">
        <v>23</v>
      </c>
      <c r="J1549" s="3">
        <v>604.80809299999999</v>
      </c>
      <c r="K1549" s="3" t="s">
        <v>24</v>
      </c>
      <c r="L1549" s="3" t="s">
        <v>24</v>
      </c>
      <c r="M1549" s="3" t="s">
        <v>24</v>
      </c>
      <c r="N1549" s="3">
        <v>17499.967000000001</v>
      </c>
      <c r="O1549" s="4"/>
      <c r="P1549" s="4"/>
      <c r="Q1549" s="4"/>
      <c r="R1549" s="5">
        <v>0</v>
      </c>
      <c r="S1549">
        <v>0</v>
      </c>
      <c r="T1549" t="b">
        <v>1</v>
      </c>
      <c r="U1549">
        <v>-1</v>
      </c>
      <c r="V1549" s="4">
        <v>225.61</v>
      </c>
    </row>
    <row r="1550" spans="1:22" x14ac:dyDescent="0.35">
      <c r="A1550" t="s">
        <v>27</v>
      </c>
      <c r="B1550">
        <v>1</v>
      </c>
      <c r="C1550">
        <v>3</v>
      </c>
      <c r="D1550">
        <v>2</v>
      </c>
      <c r="E1550" t="s">
        <v>29</v>
      </c>
      <c r="F1550">
        <v>50</v>
      </c>
      <c r="G1550">
        <v>1</v>
      </c>
      <c r="H1550">
        <v>16</v>
      </c>
      <c r="I1550" t="s">
        <v>23</v>
      </c>
      <c r="J1550" s="3">
        <v>107.383127</v>
      </c>
      <c r="K1550" s="3" t="s">
        <v>24</v>
      </c>
      <c r="L1550" s="3" t="s">
        <v>24</v>
      </c>
      <c r="M1550" s="3" t="s">
        <v>24</v>
      </c>
      <c r="N1550" s="3">
        <v>17499.967000000001</v>
      </c>
      <c r="O1550" s="4"/>
      <c r="P1550" s="4"/>
      <c r="Q1550" s="4"/>
      <c r="R1550" s="5">
        <v>0</v>
      </c>
      <c r="S1550">
        <v>0</v>
      </c>
      <c r="T1550" t="b">
        <v>1</v>
      </c>
      <c r="U1550">
        <v>-1</v>
      </c>
      <c r="V1550" s="4">
        <v>30.08</v>
      </c>
    </row>
    <row r="1551" spans="1:22" x14ac:dyDescent="0.35">
      <c r="A1551" t="s">
        <v>27</v>
      </c>
      <c r="B1551">
        <v>1</v>
      </c>
      <c r="C1551">
        <v>3</v>
      </c>
      <c r="D1551">
        <v>2</v>
      </c>
      <c r="E1551" t="s">
        <v>29</v>
      </c>
      <c r="F1551">
        <v>50</v>
      </c>
      <c r="G1551">
        <v>3</v>
      </c>
      <c r="H1551">
        <v>16</v>
      </c>
      <c r="I1551" t="s">
        <v>23</v>
      </c>
      <c r="J1551" s="3">
        <v>97.218259000000003</v>
      </c>
      <c r="K1551" s="3">
        <v>17499.967000000001</v>
      </c>
      <c r="L1551" s="3">
        <v>21443.097000000002</v>
      </c>
      <c r="M1551" s="3">
        <v>17499.967000000001</v>
      </c>
      <c r="N1551" s="3">
        <v>17499.967000000001</v>
      </c>
      <c r="O1551" s="4">
        <v>0</v>
      </c>
      <c r="P1551" s="4">
        <v>22.5322</v>
      </c>
      <c r="Q1551" s="4">
        <v>0</v>
      </c>
      <c r="R1551" s="5">
        <v>1.14E-2</v>
      </c>
      <c r="S1551">
        <v>24</v>
      </c>
      <c r="T1551" t="b">
        <v>0</v>
      </c>
      <c r="U1551">
        <v>2</v>
      </c>
      <c r="V1551" s="4">
        <v>88.42</v>
      </c>
    </row>
    <row r="1552" spans="1:22" x14ac:dyDescent="0.35">
      <c r="A1552" t="s">
        <v>27</v>
      </c>
      <c r="B1552">
        <v>1</v>
      </c>
      <c r="C1552">
        <v>3</v>
      </c>
      <c r="D1552">
        <v>2</v>
      </c>
      <c r="E1552" t="s">
        <v>29</v>
      </c>
      <c r="F1552">
        <v>200</v>
      </c>
      <c r="G1552">
        <v>1</v>
      </c>
      <c r="H1552">
        <v>16</v>
      </c>
      <c r="I1552" t="s">
        <v>23</v>
      </c>
      <c r="J1552" s="3">
        <v>128.99624800000001</v>
      </c>
      <c r="K1552" s="3">
        <v>17499.967000000001</v>
      </c>
      <c r="L1552" s="3">
        <v>17560.769</v>
      </c>
      <c r="M1552" s="3">
        <v>17499.967000000001</v>
      </c>
      <c r="N1552" s="3">
        <v>17499.967000000001</v>
      </c>
      <c r="O1552" s="4">
        <v>0</v>
      </c>
      <c r="P1552" s="4">
        <v>0.34739999999999999</v>
      </c>
      <c r="Q1552" s="4">
        <v>0</v>
      </c>
      <c r="R1552" s="5">
        <v>1.6000000000000001E-3</v>
      </c>
      <c r="S1552">
        <v>10</v>
      </c>
      <c r="T1552" t="b">
        <v>0</v>
      </c>
      <c r="U1552">
        <v>3</v>
      </c>
      <c r="V1552" s="4">
        <v>87.54</v>
      </c>
    </row>
    <row r="1553" spans="1:22" x14ac:dyDescent="0.35">
      <c r="A1553" t="s">
        <v>27</v>
      </c>
      <c r="B1553">
        <v>1</v>
      </c>
      <c r="C1553">
        <v>3</v>
      </c>
      <c r="D1553">
        <v>2</v>
      </c>
      <c r="E1553" t="s">
        <v>29</v>
      </c>
      <c r="F1553">
        <v>200</v>
      </c>
      <c r="G1553">
        <v>3</v>
      </c>
      <c r="H1553">
        <v>16</v>
      </c>
      <c r="I1553" t="s">
        <v>23</v>
      </c>
      <c r="J1553" s="3">
        <v>43.897610999999998</v>
      </c>
      <c r="K1553" s="3">
        <v>17787.576000000001</v>
      </c>
      <c r="L1553" s="3">
        <v>21847.333999999999</v>
      </c>
      <c r="M1553" s="3">
        <v>17499.967000000001</v>
      </c>
      <c r="N1553" s="3">
        <v>17499.967000000001</v>
      </c>
      <c r="O1553" s="4">
        <v>1.6435</v>
      </c>
      <c r="P1553" s="4">
        <v>24.842099999999999</v>
      </c>
      <c r="Q1553" s="4">
        <v>0</v>
      </c>
      <c r="R1553" s="5">
        <v>6.4999999999999997E-3</v>
      </c>
      <c r="S1553">
        <v>21</v>
      </c>
      <c r="T1553" t="b">
        <v>0</v>
      </c>
      <c r="U1553">
        <v>19</v>
      </c>
      <c r="V1553" s="4">
        <v>253.58</v>
      </c>
    </row>
    <row r="1554" spans="1:22" x14ac:dyDescent="0.35">
      <c r="A1554" t="s">
        <v>27</v>
      </c>
      <c r="B1554">
        <v>1</v>
      </c>
      <c r="C1554">
        <v>3</v>
      </c>
      <c r="D1554">
        <v>5</v>
      </c>
      <c r="E1554" t="s">
        <v>29</v>
      </c>
      <c r="F1554">
        <v>50</v>
      </c>
      <c r="G1554">
        <v>1</v>
      </c>
      <c r="H1554">
        <v>16</v>
      </c>
      <c r="I1554" t="s">
        <v>23</v>
      </c>
      <c r="J1554" s="3">
        <v>304.71773000000002</v>
      </c>
      <c r="K1554" s="3">
        <v>17499.967000000001</v>
      </c>
      <c r="L1554" s="3">
        <v>17499.967000000001</v>
      </c>
      <c r="M1554" s="3">
        <v>17499.967000000001</v>
      </c>
      <c r="N1554" s="3">
        <v>17499.967000000001</v>
      </c>
      <c r="O1554" s="4">
        <v>0</v>
      </c>
      <c r="P1554" s="4">
        <v>0</v>
      </c>
      <c r="Q1554" s="4">
        <v>0</v>
      </c>
      <c r="R1554" s="5">
        <v>2.5000000000000001E-3</v>
      </c>
      <c r="S1554">
        <v>15</v>
      </c>
      <c r="T1554" t="b">
        <v>0</v>
      </c>
      <c r="U1554">
        <v>1</v>
      </c>
      <c r="V1554" s="4">
        <v>30.34</v>
      </c>
    </row>
    <row r="1555" spans="1:22" x14ac:dyDescent="0.35">
      <c r="A1555" t="s">
        <v>27</v>
      </c>
      <c r="B1555">
        <v>1</v>
      </c>
      <c r="C1555">
        <v>3</v>
      </c>
      <c r="D1555">
        <v>5</v>
      </c>
      <c r="E1555" t="s">
        <v>29</v>
      </c>
      <c r="F1555">
        <v>50</v>
      </c>
      <c r="G1555">
        <v>3</v>
      </c>
      <c r="H1555">
        <v>16</v>
      </c>
      <c r="I1555" t="s">
        <v>23</v>
      </c>
      <c r="J1555" s="3">
        <v>162.310664</v>
      </c>
      <c r="K1555" s="3">
        <v>17560.769</v>
      </c>
      <c r="L1555" s="3">
        <v>19710.715</v>
      </c>
      <c r="M1555" s="3">
        <v>17499.967000000001</v>
      </c>
      <c r="N1555" s="3">
        <v>17499.967000000001</v>
      </c>
      <c r="O1555" s="4">
        <v>0.34739999999999999</v>
      </c>
      <c r="P1555" s="4">
        <v>12.632899999999999</v>
      </c>
      <c r="Q1555" s="4">
        <v>0</v>
      </c>
      <c r="R1555" s="5">
        <v>7.9000000000000008E-3</v>
      </c>
      <c r="S1555">
        <v>23</v>
      </c>
      <c r="T1555" t="b">
        <v>0</v>
      </c>
      <c r="U1555">
        <v>13</v>
      </c>
      <c r="V1555" s="4">
        <v>89.58</v>
      </c>
    </row>
    <row r="1556" spans="1:22" x14ac:dyDescent="0.35">
      <c r="A1556" t="s">
        <v>27</v>
      </c>
      <c r="B1556">
        <v>1</v>
      </c>
      <c r="C1556">
        <v>3</v>
      </c>
      <c r="D1556">
        <v>5</v>
      </c>
      <c r="E1556" t="s">
        <v>29</v>
      </c>
      <c r="F1556">
        <v>200</v>
      </c>
      <c r="G1556">
        <v>1</v>
      </c>
      <c r="H1556">
        <v>16</v>
      </c>
      <c r="I1556" t="s">
        <v>23</v>
      </c>
      <c r="J1556" s="3">
        <v>338.31626</v>
      </c>
      <c r="K1556" s="3">
        <v>17560.769</v>
      </c>
      <c r="L1556" s="3">
        <v>21620.526999999998</v>
      </c>
      <c r="M1556" s="3">
        <v>17560.769</v>
      </c>
      <c r="N1556" s="3">
        <v>17499.967000000001</v>
      </c>
      <c r="O1556" s="4">
        <v>0.34739999999999999</v>
      </c>
      <c r="P1556" s="4">
        <v>23.546099999999999</v>
      </c>
      <c r="Q1556" s="4">
        <v>0.34739999999999999</v>
      </c>
      <c r="R1556" s="5">
        <v>1.5E-3</v>
      </c>
      <c r="S1556">
        <v>10</v>
      </c>
      <c r="T1556" t="b">
        <v>0</v>
      </c>
      <c r="U1556">
        <v>5</v>
      </c>
      <c r="V1556" s="4">
        <v>89.09</v>
      </c>
    </row>
    <row r="1557" spans="1:22" x14ac:dyDescent="0.35">
      <c r="A1557" t="s">
        <v>27</v>
      </c>
      <c r="B1557">
        <v>1</v>
      </c>
      <c r="C1557">
        <v>3</v>
      </c>
      <c r="D1557">
        <v>5</v>
      </c>
      <c r="E1557" t="s">
        <v>29</v>
      </c>
      <c r="F1557">
        <v>200</v>
      </c>
      <c r="G1557">
        <v>3</v>
      </c>
      <c r="H1557">
        <v>16</v>
      </c>
      <c r="I1557" t="s">
        <v>23</v>
      </c>
      <c r="J1557" s="3">
        <v>123.777314</v>
      </c>
      <c r="K1557" s="3">
        <v>17499.967000000001</v>
      </c>
      <c r="L1557" s="3">
        <v>19827.343000000001</v>
      </c>
      <c r="M1557" s="3">
        <v>17499.967000000001</v>
      </c>
      <c r="N1557" s="3">
        <v>17499.967000000001</v>
      </c>
      <c r="O1557" s="4">
        <v>0</v>
      </c>
      <c r="P1557" s="4">
        <v>13.299300000000001</v>
      </c>
      <c r="Q1557" s="4">
        <v>0</v>
      </c>
      <c r="R1557" s="5">
        <v>9.5999999999999992E-3</v>
      </c>
      <c r="S1557">
        <v>24</v>
      </c>
      <c r="T1557" t="b">
        <v>0</v>
      </c>
      <c r="U1557">
        <v>2</v>
      </c>
      <c r="V1557" s="4">
        <v>261.47000000000003</v>
      </c>
    </row>
    <row r="1558" spans="1:22" x14ac:dyDescent="0.35">
      <c r="A1558" t="s">
        <v>27</v>
      </c>
      <c r="B1558">
        <v>1</v>
      </c>
      <c r="C1558">
        <v>3</v>
      </c>
      <c r="D1558">
        <v>10</v>
      </c>
      <c r="E1558" t="s">
        <v>29</v>
      </c>
      <c r="F1558">
        <v>50</v>
      </c>
      <c r="G1558">
        <v>1</v>
      </c>
      <c r="H1558">
        <v>16</v>
      </c>
      <c r="I1558" t="s">
        <v>23</v>
      </c>
      <c r="J1558" s="3">
        <v>585.95021699999995</v>
      </c>
      <c r="K1558" s="3">
        <v>17560.769</v>
      </c>
      <c r="L1558" s="3">
        <v>21620.526999999998</v>
      </c>
      <c r="M1558" s="3">
        <v>17560.769</v>
      </c>
      <c r="N1558" s="3">
        <v>17499.967000000001</v>
      </c>
      <c r="O1558" s="4">
        <v>0.34739999999999999</v>
      </c>
      <c r="P1558" s="4">
        <v>23.546099999999999</v>
      </c>
      <c r="Q1558" s="4">
        <v>0.34739999999999999</v>
      </c>
      <c r="R1558" s="5">
        <v>4.0000000000000002E-4</v>
      </c>
      <c r="S1558">
        <v>4</v>
      </c>
      <c r="T1558" t="b">
        <v>0</v>
      </c>
      <c r="U1558">
        <v>4</v>
      </c>
      <c r="V1558" s="4">
        <v>30.3</v>
      </c>
    </row>
    <row r="1559" spans="1:22" x14ac:dyDescent="0.35">
      <c r="A1559" t="s">
        <v>27</v>
      </c>
      <c r="B1559">
        <v>1</v>
      </c>
      <c r="C1559">
        <v>3</v>
      </c>
      <c r="D1559">
        <v>10</v>
      </c>
      <c r="E1559" t="s">
        <v>29</v>
      </c>
      <c r="F1559">
        <v>50</v>
      </c>
      <c r="G1559">
        <v>3</v>
      </c>
      <c r="H1559">
        <v>16</v>
      </c>
      <c r="I1559" t="s">
        <v>23</v>
      </c>
      <c r="J1559" s="3">
        <v>495.11100800000003</v>
      </c>
      <c r="K1559" s="3">
        <v>17499.967000000001</v>
      </c>
      <c r="L1559" s="3">
        <v>19710.715</v>
      </c>
      <c r="M1559" s="3">
        <v>17499.967000000001</v>
      </c>
      <c r="N1559" s="3">
        <v>17499.967000000001</v>
      </c>
      <c r="O1559" s="4">
        <v>0</v>
      </c>
      <c r="P1559" s="4">
        <v>12.632899999999999</v>
      </c>
      <c r="Q1559" s="4">
        <v>0</v>
      </c>
      <c r="R1559" s="5">
        <v>2.5999999999999999E-3</v>
      </c>
      <c r="S1559">
        <v>18</v>
      </c>
      <c r="T1559" t="b">
        <v>0</v>
      </c>
      <c r="U1559">
        <v>3</v>
      </c>
      <c r="V1559" s="4">
        <v>88.3</v>
      </c>
    </row>
    <row r="1560" spans="1:22" x14ac:dyDescent="0.35">
      <c r="A1560" t="s">
        <v>27</v>
      </c>
      <c r="B1560">
        <v>1</v>
      </c>
      <c r="C1560">
        <v>3</v>
      </c>
      <c r="D1560">
        <v>10</v>
      </c>
      <c r="E1560" t="s">
        <v>29</v>
      </c>
      <c r="F1560">
        <v>200</v>
      </c>
      <c r="G1560">
        <v>1</v>
      </c>
      <c r="H1560">
        <v>16</v>
      </c>
      <c r="I1560" t="s">
        <v>23</v>
      </c>
      <c r="J1560" s="3">
        <v>328.32910199999998</v>
      </c>
      <c r="K1560" s="3">
        <v>17499.967000000001</v>
      </c>
      <c r="L1560" s="3">
        <v>17499.967000000001</v>
      </c>
      <c r="M1560" s="3">
        <v>17499.967000000001</v>
      </c>
      <c r="N1560" s="3">
        <v>17499.967000000001</v>
      </c>
      <c r="O1560" s="4">
        <v>0</v>
      </c>
      <c r="P1560" s="4">
        <v>0</v>
      </c>
      <c r="Q1560" s="4">
        <v>0</v>
      </c>
      <c r="R1560" s="5">
        <v>4.1000000000000003E-3</v>
      </c>
      <c r="S1560">
        <v>20</v>
      </c>
      <c r="T1560" t="b">
        <v>0</v>
      </c>
      <c r="U1560">
        <v>1</v>
      </c>
      <c r="V1560" s="4">
        <v>88.42</v>
      </c>
    </row>
    <row r="1561" spans="1:22" x14ac:dyDescent="0.35">
      <c r="A1561" t="s">
        <v>27</v>
      </c>
      <c r="B1561">
        <v>1</v>
      </c>
      <c r="C1561">
        <v>3</v>
      </c>
      <c r="D1561">
        <v>10</v>
      </c>
      <c r="E1561" t="s">
        <v>29</v>
      </c>
      <c r="F1561">
        <v>200</v>
      </c>
      <c r="G1561">
        <v>3</v>
      </c>
      <c r="H1561">
        <v>16</v>
      </c>
      <c r="I1561" t="s">
        <v>23</v>
      </c>
      <c r="J1561" s="3">
        <v>252.02593999999999</v>
      </c>
      <c r="K1561" s="3">
        <v>17499.967000000001</v>
      </c>
      <c r="L1561" s="3">
        <v>19580.759999999998</v>
      </c>
      <c r="M1561" s="3">
        <v>17499.967000000001</v>
      </c>
      <c r="N1561" s="3">
        <v>17499.967000000001</v>
      </c>
      <c r="O1561" s="4">
        <v>0</v>
      </c>
      <c r="P1561" s="4">
        <v>11.8903</v>
      </c>
      <c r="Q1561" s="4">
        <v>0</v>
      </c>
      <c r="R1561" s="5">
        <v>3.9100000000000003E-2</v>
      </c>
      <c r="S1561">
        <v>24</v>
      </c>
      <c r="T1561" t="b">
        <v>0</v>
      </c>
      <c r="U1561">
        <v>17</v>
      </c>
      <c r="V1561" s="4">
        <v>262.61</v>
      </c>
    </row>
    <row r="1562" spans="1:22" x14ac:dyDescent="0.35">
      <c r="A1562" t="s">
        <v>27</v>
      </c>
      <c r="B1562">
        <v>2</v>
      </c>
      <c r="C1562">
        <v>1</v>
      </c>
      <c r="D1562">
        <v>2</v>
      </c>
      <c r="E1562" t="s">
        <v>29</v>
      </c>
      <c r="F1562">
        <v>50</v>
      </c>
      <c r="G1562">
        <v>1</v>
      </c>
      <c r="H1562">
        <v>20</v>
      </c>
      <c r="I1562" t="s">
        <v>26</v>
      </c>
      <c r="J1562" s="3">
        <v>148.16659000000001</v>
      </c>
      <c r="K1562" s="3">
        <v>23762.920999999998</v>
      </c>
      <c r="L1562" s="3">
        <v>23762.920999999998</v>
      </c>
      <c r="M1562" s="3">
        <v>23762.920999999998</v>
      </c>
      <c r="N1562" s="3">
        <v>19642.361000000001</v>
      </c>
      <c r="O1562" s="4">
        <v>20.977900000000002</v>
      </c>
      <c r="P1562" s="4">
        <v>20.977900000000002</v>
      </c>
      <c r="Q1562" s="4">
        <v>20.977900000000002</v>
      </c>
      <c r="R1562" s="5">
        <v>1E-4</v>
      </c>
      <c r="S1562">
        <v>1</v>
      </c>
      <c r="T1562" t="b">
        <v>0</v>
      </c>
      <c r="U1562">
        <v>1</v>
      </c>
      <c r="V1562" s="4">
        <v>29.22</v>
      </c>
    </row>
    <row r="1563" spans="1:22" x14ac:dyDescent="0.35">
      <c r="A1563" t="s">
        <v>27</v>
      </c>
      <c r="B1563">
        <v>2</v>
      </c>
      <c r="C1563">
        <v>1</v>
      </c>
      <c r="D1563">
        <v>2</v>
      </c>
      <c r="E1563" t="s">
        <v>29</v>
      </c>
      <c r="F1563">
        <v>50</v>
      </c>
      <c r="G1563">
        <v>3</v>
      </c>
      <c r="H1563">
        <v>20</v>
      </c>
      <c r="I1563" t="s">
        <v>26</v>
      </c>
      <c r="J1563" s="3">
        <v>146.67380199999999</v>
      </c>
      <c r="K1563" s="3">
        <v>23297.882000000001</v>
      </c>
      <c r="L1563" s="3">
        <v>23297.882000000001</v>
      </c>
      <c r="M1563" s="3">
        <v>23297.882000000001</v>
      </c>
      <c r="N1563" s="3">
        <v>19642.361000000001</v>
      </c>
      <c r="O1563" s="4">
        <v>18.610399999999998</v>
      </c>
      <c r="P1563" s="4">
        <v>18.610399999999998</v>
      </c>
      <c r="Q1563" s="4">
        <v>18.610399999999998</v>
      </c>
      <c r="R1563" s="5">
        <v>1E-4</v>
      </c>
      <c r="S1563">
        <v>1</v>
      </c>
      <c r="T1563" t="b">
        <v>0</v>
      </c>
      <c r="U1563">
        <v>1</v>
      </c>
      <c r="V1563" s="4">
        <v>85.67</v>
      </c>
    </row>
    <row r="1564" spans="1:22" x14ac:dyDescent="0.35">
      <c r="A1564" t="s">
        <v>27</v>
      </c>
      <c r="B1564">
        <v>2</v>
      </c>
      <c r="C1564">
        <v>1</v>
      </c>
      <c r="D1564">
        <v>2</v>
      </c>
      <c r="E1564" t="s">
        <v>29</v>
      </c>
      <c r="F1564">
        <v>200</v>
      </c>
      <c r="G1564">
        <v>1</v>
      </c>
      <c r="H1564">
        <v>20</v>
      </c>
      <c r="I1564" t="s">
        <v>26</v>
      </c>
      <c r="J1564" s="3">
        <v>145.01150799999999</v>
      </c>
      <c r="K1564" s="3">
        <v>21723.153999999999</v>
      </c>
      <c r="L1564" s="3">
        <v>23762.920999999998</v>
      </c>
      <c r="M1564" s="3">
        <v>21723.153999999999</v>
      </c>
      <c r="N1564" s="3">
        <v>19642.361000000001</v>
      </c>
      <c r="O1564" s="4">
        <v>10.593400000000001</v>
      </c>
      <c r="P1564" s="4">
        <v>20.977900000000002</v>
      </c>
      <c r="Q1564" s="4">
        <v>10.593400000000001</v>
      </c>
      <c r="R1564" s="5">
        <v>2.9999999999999997E-4</v>
      </c>
      <c r="S1564">
        <v>3</v>
      </c>
      <c r="T1564" t="b">
        <v>0</v>
      </c>
      <c r="U1564">
        <v>2</v>
      </c>
      <c r="V1564" s="4">
        <v>85.8</v>
      </c>
    </row>
    <row r="1565" spans="1:22" x14ac:dyDescent="0.35">
      <c r="A1565" t="s">
        <v>27</v>
      </c>
      <c r="B1565">
        <v>2</v>
      </c>
      <c r="C1565">
        <v>1</v>
      </c>
      <c r="D1565">
        <v>2</v>
      </c>
      <c r="E1565" t="s">
        <v>29</v>
      </c>
      <c r="F1565">
        <v>200</v>
      </c>
      <c r="G1565">
        <v>3</v>
      </c>
      <c r="H1565">
        <v>20</v>
      </c>
      <c r="I1565" t="s">
        <v>26</v>
      </c>
      <c r="J1565" s="3">
        <v>145.01150799999999</v>
      </c>
      <c r="K1565" s="3">
        <v>21723.153999999999</v>
      </c>
      <c r="L1565" s="3">
        <v>23762.920999999998</v>
      </c>
      <c r="M1565" s="3">
        <v>21723.153999999999</v>
      </c>
      <c r="N1565" s="3">
        <v>19642.361000000001</v>
      </c>
      <c r="O1565" s="4">
        <v>10.593400000000001</v>
      </c>
      <c r="P1565" s="4">
        <v>20.977900000000002</v>
      </c>
      <c r="Q1565" s="4">
        <v>10.593400000000001</v>
      </c>
      <c r="R1565" s="5">
        <v>2.9999999999999997E-4</v>
      </c>
      <c r="S1565">
        <v>3</v>
      </c>
      <c r="T1565" t="b">
        <v>0</v>
      </c>
      <c r="U1565">
        <v>2</v>
      </c>
      <c r="V1565" s="4">
        <v>255.7</v>
      </c>
    </row>
    <row r="1566" spans="1:22" x14ac:dyDescent="0.35">
      <c r="A1566" t="s">
        <v>27</v>
      </c>
      <c r="B1566">
        <v>2</v>
      </c>
      <c r="C1566">
        <v>1</v>
      </c>
      <c r="D1566">
        <v>5</v>
      </c>
      <c r="E1566" t="s">
        <v>29</v>
      </c>
      <c r="F1566">
        <v>50</v>
      </c>
      <c r="G1566">
        <v>1</v>
      </c>
      <c r="H1566">
        <v>20</v>
      </c>
      <c r="I1566" t="s">
        <v>26</v>
      </c>
      <c r="J1566" s="3">
        <v>362.34821199999999</v>
      </c>
      <c r="K1566" s="3">
        <v>21435.544999999998</v>
      </c>
      <c r="L1566" s="3">
        <v>21565.5</v>
      </c>
      <c r="M1566" s="3">
        <v>21435.544999999998</v>
      </c>
      <c r="N1566" s="3">
        <v>19642.361000000001</v>
      </c>
      <c r="O1566" s="4">
        <v>9.1292000000000009</v>
      </c>
      <c r="P1566" s="4">
        <v>9.7908000000000008</v>
      </c>
      <c r="Q1566" s="4">
        <v>9.1292000000000009</v>
      </c>
      <c r="R1566" s="5">
        <v>2.0000000000000001E-4</v>
      </c>
      <c r="S1566">
        <v>2</v>
      </c>
      <c r="T1566" t="b">
        <v>0</v>
      </c>
      <c r="U1566">
        <v>2</v>
      </c>
      <c r="V1566" s="4">
        <v>28.98</v>
      </c>
    </row>
    <row r="1567" spans="1:22" x14ac:dyDescent="0.35">
      <c r="A1567" t="s">
        <v>27</v>
      </c>
      <c r="B1567">
        <v>2</v>
      </c>
      <c r="C1567">
        <v>1</v>
      </c>
      <c r="D1567">
        <v>5</v>
      </c>
      <c r="E1567" t="s">
        <v>29</v>
      </c>
      <c r="F1567">
        <v>50</v>
      </c>
      <c r="G1567">
        <v>3</v>
      </c>
      <c r="H1567">
        <v>20</v>
      </c>
      <c r="I1567" t="s">
        <v>26</v>
      </c>
      <c r="J1567" s="3">
        <v>354.95420100000001</v>
      </c>
      <c r="K1567" s="3">
        <v>23297.882000000001</v>
      </c>
      <c r="L1567" s="3">
        <v>23297.882000000001</v>
      </c>
      <c r="M1567" s="3">
        <v>23297.882000000001</v>
      </c>
      <c r="N1567" s="3">
        <v>19642.361000000001</v>
      </c>
      <c r="O1567" s="4">
        <v>18.610399999999998</v>
      </c>
      <c r="P1567" s="4">
        <v>18.610399999999998</v>
      </c>
      <c r="Q1567" s="4">
        <v>18.610399999999998</v>
      </c>
      <c r="R1567" s="5">
        <v>1E-4</v>
      </c>
      <c r="S1567">
        <v>1</v>
      </c>
      <c r="T1567" t="b">
        <v>0</v>
      </c>
      <c r="U1567">
        <v>1</v>
      </c>
      <c r="V1567" s="4">
        <v>85.85</v>
      </c>
    </row>
    <row r="1568" spans="1:22" x14ac:dyDescent="0.35">
      <c r="A1568" t="s">
        <v>27</v>
      </c>
      <c r="B1568">
        <v>2</v>
      </c>
      <c r="C1568">
        <v>1</v>
      </c>
      <c r="D1568">
        <v>5</v>
      </c>
      <c r="E1568" t="s">
        <v>29</v>
      </c>
      <c r="F1568">
        <v>200</v>
      </c>
      <c r="G1568">
        <v>1</v>
      </c>
      <c r="H1568">
        <v>20</v>
      </c>
      <c r="I1568" t="s">
        <v>26</v>
      </c>
      <c r="J1568" s="3">
        <v>366.77164499999998</v>
      </c>
      <c r="K1568" s="3">
        <v>23358.684000000001</v>
      </c>
      <c r="L1568" s="3">
        <v>23358.684000000001</v>
      </c>
      <c r="M1568" s="3">
        <v>23358.684000000001</v>
      </c>
      <c r="N1568" s="3">
        <v>19642.361000000001</v>
      </c>
      <c r="O1568" s="4">
        <v>18.919899999999998</v>
      </c>
      <c r="P1568" s="4">
        <v>18.919899999999998</v>
      </c>
      <c r="Q1568" s="4">
        <v>18.919899999999998</v>
      </c>
      <c r="R1568" s="5">
        <v>2.0000000000000001E-4</v>
      </c>
      <c r="S1568">
        <v>2</v>
      </c>
      <c r="T1568" t="b">
        <v>0</v>
      </c>
      <c r="U1568">
        <v>1</v>
      </c>
      <c r="V1568" s="4">
        <v>85.39</v>
      </c>
    </row>
    <row r="1569" spans="1:22" x14ac:dyDescent="0.35">
      <c r="A1569" t="s">
        <v>27</v>
      </c>
      <c r="B1569">
        <v>2</v>
      </c>
      <c r="C1569">
        <v>1</v>
      </c>
      <c r="D1569">
        <v>5</v>
      </c>
      <c r="E1569" t="s">
        <v>29</v>
      </c>
      <c r="F1569">
        <v>200</v>
      </c>
      <c r="G1569">
        <v>3</v>
      </c>
      <c r="H1569">
        <v>20</v>
      </c>
      <c r="I1569" t="s">
        <v>26</v>
      </c>
      <c r="J1569" s="3">
        <v>362.61555900000002</v>
      </c>
      <c r="K1569" s="3" t="s">
        <v>24</v>
      </c>
      <c r="L1569" s="3" t="s">
        <v>24</v>
      </c>
      <c r="M1569" s="3" t="s">
        <v>24</v>
      </c>
      <c r="N1569" s="3">
        <v>19642.361000000001</v>
      </c>
      <c r="O1569" s="4"/>
      <c r="P1569" s="4"/>
      <c r="Q1569" s="4"/>
      <c r="R1569" s="5">
        <v>0</v>
      </c>
      <c r="S1569">
        <v>0</v>
      </c>
      <c r="T1569" t="b">
        <v>1</v>
      </c>
      <c r="U1569">
        <v>-1</v>
      </c>
      <c r="V1569" s="4">
        <v>254.72</v>
      </c>
    </row>
    <row r="1570" spans="1:22" x14ac:dyDescent="0.35">
      <c r="A1570" t="s">
        <v>27</v>
      </c>
      <c r="B1570">
        <v>2</v>
      </c>
      <c r="C1570">
        <v>1</v>
      </c>
      <c r="D1570">
        <v>10</v>
      </c>
      <c r="E1570" t="s">
        <v>29</v>
      </c>
      <c r="F1570">
        <v>50</v>
      </c>
      <c r="G1570">
        <v>1</v>
      </c>
      <c r="H1570">
        <v>20</v>
      </c>
      <c r="I1570" t="s">
        <v>26</v>
      </c>
      <c r="J1570" s="3">
        <v>711.43252700000005</v>
      </c>
      <c r="K1570" s="3" t="s">
        <v>24</v>
      </c>
      <c r="L1570" s="3" t="s">
        <v>24</v>
      </c>
      <c r="M1570" s="3" t="s">
        <v>24</v>
      </c>
      <c r="N1570" s="3">
        <v>19642.361000000001</v>
      </c>
      <c r="O1570" s="4"/>
      <c r="P1570" s="4"/>
      <c r="Q1570" s="4"/>
      <c r="R1570" s="5">
        <v>0</v>
      </c>
      <c r="S1570">
        <v>0</v>
      </c>
      <c r="T1570" t="b">
        <v>1</v>
      </c>
      <c r="U1570">
        <v>-1</v>
      </c>
      <c r="V1570" s="4">
        <v>29.23</v>
      </c>
    </row>
    <row r="1571" spans="1:22" x14ac:dyDescent="0.35">
      <c r="A1571" t="s">
        <v>27</v>
      </c>
      <c r="B1571">
        <v>2</v>
      </c>
      <c r="C1571">
        <v>1</v>
      </c>
      <c r="D1571">
        <v>10</v>
      </c>
      <c r="E1571" t="s">
        <v>29</v>
      </c>
      <c r="F1571">
        <v>50</v>
      </c>
      <c r="G1571">
        <v>3</v>
      </c>
      <c r="H1571">
        <v>20</v>
      </c>
      <c r="I1571" t="s">
        <v>26</v>
      </c>
      <c r="J1571" s="3">
        <v>710.01199099999997</v>
      </c>
      <c r="K1571" s="3">
        <v>19642.361000000001</v>
      </c>
      <c r="L1571" s="3">
        <v>23297.882000000001</v>
      </c>
      <c r="M1571" s="3">
        <v>19642.361000000001</v>
      </c>
      <c r="N1571" s="3">
        <v>19642.361000000001</v>
      </c>
      <c r="O1571" s="4">
        <v>0</v>
      </c>
      <c r="P1571" s="4">
        <v>18.610399999999998</v>
      </c>
      <c r="Q1571" s="4">
        <v>0</v>
      </c>
      <c r="R1571" s="5">
        <v>5.9999999999999995E-4</v>
      </c>
      <c r="S1571">
        <v>6</v>
      </c>
      <c r="T1571" t="b">
        <v>0</v>
      </c>
      <c r="U1571">
        <v>5</v>
      </c>
      <c r="V1571" s="4">
        <v>85.59</v>
      </c>
    </row>
    <row r="1572" spans="1:22" x14ac:dyDescent="0.35">
      <c r="A1572" t="s">
        <v>27</v>
      </c>
      <c r="B1572">
        <v>2</v>
      </c>
      <c r="C1572">
        <v>1</v>
      </c>
      <c r="D1572">
        <v>10</v>
      </c>
      <c r="E1572" t="s">
        <v>29</v>
      </c>
      <c r="F1572">
        <v>200</v>
      </c>
      <c r="G1572">
        <v>1</v>
      </c>
      <c r="H1572">
        <v>20</v>
      </c>
      <c r="I1572" t="s">
        <v>26</v>
      </c>
      <c r="J1572" s="3">
        <v>484.40540199999998</v>
      </c>
      <c r="K1572" s="3">
        <v>21435.544999999998</v>
      </c>
      <c r="L1572" s="3">
        <v>23762.920999999998</v>
      </c>
      <c r="M1572" s="3">
        <v>21435.544999999998</v>
      </c>
      <c r="N1572" s="3">
        <v>19642.361000000001</v>
      </c>
      <c r="O1572" s="4">
        <v>9.1292000000000009</v>
      </c>
      <c r="P1572" s="4">
        <v>20.977900000000002</v>
      </c>
      <c r="Q1572" s="4">
        <v>9.1292000000000009</v>
      </c>
      <c r="R1572" s="5">
        <v>2.0000000000000001E-4</v>
      </c>
      <c r="S1572">
        <v>2</v>
      </c>
      <c r="T1572" t="b">
        <v>0</v>
      </c>
      <c r="U1572">
        <v>2</v>
      </c>
      <c r="V1572" s="4">
        <v>84.79</v>
      </c>
    </row>
    <row r="1573" spans="1:22" x14ac:dyDescent="0.35">
      <c r="A1573" t="s">
        <v>27</v>
      </c>
      <c r="B1573">
        <v>2</v>
      </c>
      <c r="C1573">
        <v>1</v>
      </c>
      <c r="D1573">
        <v>10</v>
      </c>
      <c r="E1573" t="s">
        <v>29</v>
      </c>
      <c r="F1573">
        <v>200</v>
      </c>
      <c r="G1573">
        <v>3</v>
      </c>
      <c r="H1573">
        <v>20</v>
      </c>
      <c r="I1573" t="s">
        <v>26</v>
      </c>
      <c r="J1573" s="3">
        <v>484.40540199999998</v>
      </c>
      <c r="K1573" s="3">
        <v>21435.544999999998</v>
      </c>
      <c r="L1573" s="3">
        <v>23762.920999999998</v>
      </c>
      <c r="M1573" s="3">
        <v>21435.544999999998</v>
      </c>
      <c r="N1573" s="3">
        <v>19642.361000000001</v>
      </c>
      <c r="O1573" s="4">
        <v>9.1292000000000009</v>
      </c>
      <c r="P1573" s="4">
        <v>20.977900000000002</v>
      </c>
      <c r="Q1573" s="4">
        <v>9.1292000000000009</v>
      </c>
      <c r="R1573" s="5">
        <v>2.0000000000000001E-4</v>
      </c>
      <c r="S1573">
        <v>2</v>
      </c>
      <c r="T1573" t="b">
        <v>0</v>
      </c>
      <c r="U1573">
        <v>2</v>
      </c>
      <c r="V1573" s="4">
        <v>254.37</v>
      </c>
    </row>
    <row r="1574" spans="1:22" x14ac:dyDescent="0.35">
      <c r="A1574" t="s">
        <v>27</v>
      </c>
      <c r="B1574">
        <v>2</v>
      </c>
      <c r="C1574">
        <v>3</v>
      </c>
      <c r="D1574">
        <v>2</v>
      </c>
      <c r="E1574" t="s">
        <v>29</v>
      </c>
      <c r="F1574">
        <v>50</v>
      </c>
      <c r="G1574">
        <v>1</v>
      </c>
      <c r="H1574">
        <v>20</v>
      </c>
      <c r="I1574" t="s">
        <v>26</v>
      </c>
      <c r="J1574" s="3">
        <v>148.12237300000001</v>
      </c>
      <c r="K1574" s="3" t="s">
        <v>24</v>
      </c>
      <c r="L1574" s="3" t="s">
        <v>24</v>
      </c>
      <c r="M1574" s="3" t="s">
        <v>24</v>
      </c>
      <c r="N1574" s="3">
        <v>19642.361000000001</v>
      </c>
      <c r="O1574" s="4"/>
      <c r="P1574" s="4"/>
      <c r="Q1574" s="4"/>
      <c r="R1574" s="5">
        <v>0</v>
      </c>
      <c r="S1574">
        <v>0</v>
      </c>
      <c r="T1574" t="b">
        <v>1</v>
      </c>
      <c r="U1574">
        <v>-1</v>
      </c>
      <c r="V1574" s="4">
        <v>45.16</v>
      </c>
    </row>
    <row r="1575" spans="1:22" x14ac:dyDescent="0.35">
      <c r="A1575" t="s">
        <v>27</v>
      </c>
      <c r="B1575">
        <v>2</v>
      </c>
      <c r="C1575">
        <v>3</v>
      </c>
      <c r="D1575">
        <v>2</v>
      </c>
      <c r="E1575" t="s">
        <v>29</v>
      </c>
      <c r="F1575">
        <v>50</v>
      </c>
      <c r="G1575">
        <v>3</v>
      </c>
      <c r="H1575">
        <v>20</v>
      </c>
      <c r="I1575" t="s">
        <v>26</v>
      </c>
      <c r="J1575" s="3">
        <v>109.771055</v>
      </c>
      <c r="K1575" s="3">
        <v>19703.163</v>
      </c>
      <c r="L1575" s="3">
        <v>23585.491000000002</v>
      </c>
      <c r="M1575" s="3">
        <v>19703.163</v>
      </c>
      <c r="N1575" s="3">
        <v>19642.361000000001</v>
      </c>
      <c r="O1575" s="4">
        <v>0.3095</v>
      </c>
      <c r="P1575" s="4">
        <v>20.0746</v>
      </c>
      <c r="Q1575" s="4">
        <v>0.3095</v>
      </c>
      <c r="R1575" s="5">
        <v>8.9999999999999998E-4</v>
      </c>
      <c r="S1575">
        <v>9</v>
      </c>
      <c r="T1575" t="b">
        <v>0</v>
      </c>
      <c r="U1575">
        <v>3</v>
      </c>
      <c r="V1575" s="4">
        <v>133.62</v>
      </c>
    </row>
    <row r="1576" spans="1:22" x14ac:dyDescent="0.35">
      <c r="A1576" t="s">
        <v>27</v>
      </c>
      <c r="B1576">
        <v>2</v>
      </c>
      <c r="C1576">
        <v>3</v>
      </c>
      <c r="D1576">
        <v>2</v>
      </c>
      <c r="E1576" t="s">
        <v>29</v>
      </c>
      <c r="F1576">
        <v>200</v>
      </c>
      <c r="G1576">
        <v>1</v>
      </c>
      <c r="H1576">
        <v>20</v>
      </c>
      <c r="I1576" t="s">
        <v>26</v>
      </c>
      <c r="J1576" s="3">
        <v>106.57091699999999</v>
      </c>
      <c r="K1576" s="3">
        <v>19703.163</v>
      </c>
      <c r="L1576" s="3">
        <v>23585.491000000002</v>
      </c>
      <c r="M1576" s="3">
        <v>19703.163</v>
      </c>
      <c r="N1576" s="3">
        <v>19642.361000000001</v>
      </c>
      <c r="O1576" s="4">
        <v>0.3095</v>
      </c>
      <c r="P1576" s="4">
        <v>20.0746</v>
      </c>
      <c r="Q1576" s="4">
        <v>0.3095</v>
      </c>
      <c r="R1576" s="5">
        <v>1.1000000000000001E-3</v>
      </c>
      <c r="S1576">
        <v>10</v>
      </c>
      <c r="T1576" t="b">
        <v>0</v>
      </c>
      <c r="U1576">
        <v>7</v>
      </c>
      <c r="V1576" s="4">
        <v>131.96</v>
      </c>
    </row>
    <row r="1577" spans="1:22" x14ac:dyDescent="0.35">
      <c r="A1577" t="s">
        <v>27</v>
      </c>
      <c r="B1577">
        <v>2</v>
      </c>
      <c r="C1577">
        <v>3</v>
      </c>
      <c r="D1577">
        <v>2</v>
      </c>
      <c r="E1577" t="s">
        <v>29</v>
      </c>
      <c r="F1577">
        <v>200</v>
      </c>
      <c r="G1577">
        <v>3</v>
      </c>
      <c r="H1577">
        <v>20</v>
      </c>
      <c r="I1577" t="s">
        <v>26</v>
      </c>
      <c r="J1577" s="3">
        <v>91.143607000000003</v>
      </c>
      <c r="K1577" s="3" t="s">
        <v>24</v>
      </c>
      <c r="L1577" s="3" t="s">
        <v>24</v>
      </c>
      <c r="M1577" s="3" t="s">
        <v>24</v>
      </c>
      <c r="N1577" s="3">
        <v>19642.361000000001</v>
      </c>
      <c r="O1577" s="4"/>
      <c r="P1577" s="4"/>
      <c r="Q1577" s="4"/>
      <c r="R1577" s="5">
        <v>0</v>
      </c>
      <c r="S1577">
        <v>0</v>
      </c>
      <c r="T1577" t="b">
        <v>1</v>
      </c>
      <c r="U1577">
        <v>-1</v>
      </c>
      <c r="V1577" s="4">
        <v>394.06</v>
      </c>
    </row>
    <row r="1578" spans="1:22" x14ac:dyDescent="0.35">
      <c r="A1578" t="s">
        <v>27</v>
      </c>
      <c r="B1578">
        <v>2</v>
      </c>
      <c r="C1578">
        <v>3</v>
      </c>
      <c r="D1578">
        <v>5</v>
      </c>
      <c r="E1578" t="s">
        <v>29</v>
      </c>
      <c r="F1578">
        <v>50</v>
      </c>
      <c r="G1578">
        <v>1</v>
      </c>
      <c r="H1578">
        <v>20</v>
      </c>
      <c r="I1578" t="s">
        <v>26</v>
      </c>
      <c r="J1578" s="3">
        <v>369.82054699999998</v>
      </c>
      <c r="K1578" s="3" t="s">
        <v>24</v>
      </c>
      <c r="L1578" s="3" t="s">
        <v>24</v>
      </c>
      <c r="M1578" s="3" t="s">
        <v>24</v>
      </c>
      <c r="N1578" s="3">
        <v>19642.361000000001</v>
      </c>
      <c r="O1578" s="4"/>
      <c r="P1578" s="4"/>
      <c r="Q1578" s="4"/>
      <c r="R1578" s="5">
        <v>0</v>
      </c>
      <c r="S1578">
        <v>0</v>
      </c>
      <c r="T1578" t="b">
        <v>1</v>
      </c>
      <c r="U1578">
        <v>-1</v>
      </c>
      <c r="V1578" s="4">
        <v>44.74</v>
      </c>
    </row>
    <row r="1579" spans="1:22" x14ac:dyDescent="0.35">
      <c r="A1579" t="s">
        <v>27</v>
      </c>
      <c r="B1579">
        <v>2</v>
      </c>
      <c r="C1579">
        <v>3</v>
      </c>
      <c r="D1579">
        <v>5</v>
      </c>
      <c r="E1579" t="s">
        <v>29</v>
      </c>
      <c r="F1579">
        <v>50</v>
      </c>
      <c r="G1579">
        <v>3</v>
      </c>
      <c r="H1579">
        <v>20</v>
      </c>
      <c r="I1579" t="s">
        <v>26</v>
      </c>
      <c r="J1579" s="3">
        <v>357.304802</v>
      </c>
      <c r="K1579" s="3" t="s">
        <v>24</v>
      </c>
      <c r="L1579" s="3" t="s">
        <v>24</v>
      </c>
      <c r="M1579" s="3" t="s">
        <v>24</v>
      </c>
      <c r="N1579" s="3">
        <v>19642.361000000001</v>
      </c>
      <c r="O1579" s="4"/>
      <c r="P1579" s="4"/>
      <c r="Q1579" s="4"/>
      <c r="R1579" s="5">
        <v>0</v>
      </c>
      <c r="S1579">
        <v>0</v>
      </c>
      <c r="T1579" t="b">
        <v>1</v>
      </c>
      <c r="U1579">
        <v>-1</v>
      </c>
      <c r="V1579" s="4">
        <v>133.79</v>
      </c>
    </row>
    <row r="1580" spans="1:22" x14ac:dyDescent="0.35">
      <c r="A1580" t="s">
        <v>27</v>
      </c>
      <c r="B1580">
        <v>2</v>
      </c>
      <c r="C1580">
        <v>3</v>
      </c>
      <c r="D1580">
        <v>5</v>
      </c>
      <c r="E1580" t="s">
        <v>29</v>
      </c>
      <c r="F1580">
        <v>200</v>
      </c>
      <c r="G1580">
        <v>1</v>
      </c>
      <c r="H1580">
        <v>20</v>
      </c>
      <c r="I1580" t="s">
        <v>26</v>
      </c>
      <c r="J1580" s="3">
        <v>362.32331900000003</v>
      </c>
      <c r="K1580" s="3">
        <v>23646.293000000001</v>
      </c>
      <c r="L1580" s="3">
        <v>23646.293000000001</v>
      </c>
      <c r="M1580" s="3">
        <v>23646.293000000001</v>
      </c>
      <c r="N1580" s="3">
        <v>19642.361000000001</v>
      </c>
      <c r="O1580" s="4">
        <v>20.3842</v>
      </c>
      <c r="P1580" s="4">
        <v>20.3842</v>
      </c>
      <c r="Q1580" s="4">
        <v>20.3842</v>
      </c>
      <c r="R1580" s="5">
        <v>2.9999999999999997E-4</v>
      </c>
      <c r="S1580">
        <v>3</v>
      </c>
      <c r="T1580" t="b">
        <v>0</v>
      </c>
      <c r="U1580">
        <v>1</v>
      </c>
      <c r="V1580" s="4">
        <v>132.03</v>
      </c>
    </row>
    <row r="1581" spans="1:22" x14ac:dyDescent="0.35">
      <c r="A1581" t="s">
        <v>27</v>
      </c>
      <c r="B1581">
        <v>2</v>
      </c>
      <c r="C1581">
        <v>3</v>
      </c>
      <c r="D1581">
        <v>5</v>
      </c>
      <c r="E1581" t="s">
        <v>29</v>
      </c>
      <c r="F1581">
        <v>200</v>
      </c>
      <c r="G1581">
        <v>3</v>
      </c>
      <c r="H1581">
        <v>20</v>
      </c>
      <c r="I1581" t="s">
        <v>26</v>
      </c>
      <c r="J1581" s="3">
        <v>356.75831099999999</v>
      </c>
      <c r="K1581" s="3">
        <v>21435.544999999998</v>
      </c>
      <c r="L1581" s="3">
        <v>23297.882000000001</v>
      </c>
      <c r="M1581" s="3">
        <v>21435.544999999998</v>
      </c>
      <c r="N1581" s="3">
        <v>19642.361000000001</v>
      </c>
      <c r="O1581" s="4">
        <v>9.1292000000000009</v>
      </c>
      <c r="P1581" s="4">
        <v>18.610399999999998</v>
      </c>
      <c r="Q1581" s="4">
        <v>9.1292000000000009</v>
      </c>
      <c r="R1581" s="5">
        <v>2.0000000000000001E-4</v>
      </c>
      <c r="S1581">
        <v>2</v>
      </c>
      <c r="T1581" t="b">
        <v>0</v>
      </c>
      <c r="U1581">
        <v>2</v>
      </c>
      <c r="V1581" s="4">
        <v>394.35</v>
      </c>
    </row>
    <row r="1582" spans="1:22" x14ac:dyDescent="0.35">
      <c r="A1582" t="s">
        <v>27</v>
      </c>
      <c r="B1582">
        <v>2</v>
      </c>
      <c r="C1582">
        <v>3</v>
      </c>
      <c r="D1582">
        <v>10</v>
      </c>
      <c r="E1582" t="s">
        <v>29</v>
      </c>
      <c r="F1582">
        <v>50</v>
      </c>
      <c r="G1582">
        <v>1</v>
      </c>
      <c r="H1582">
        <v>20</v>
      </c>
      <c r="I1582" t="s">
        <v>26</v>
      </c>
      <c r="J1582" s="3">
        <v>636.51143999999999</v>
      </c>
      <c r="K1582" s="3">
        <v>21435.544999999998</v>
      </c>
      <c r="L1582" s="3">
        <v>23585.491000000002</v>
      </c>
      <c r="M1582" s="3">
        <v>21435.544999999998</v>
      </c>
      <c r="N1582" s="3">
        <v>19642.361000000001</v>
      </c>
      <c r="O1582" s="4">
        <v>9.1292000000000009</v>
      </c>
      <c r="P1582" s="4">
        <v>20.0746</v>
      </c>
      <c r="Q1582" s="4">
        <v>9.1292000000000009</v>
      </c>
      <c r="R1582" s="5">
        <v>4.0000000000000002E-4</v>
      </c>
      <c r="S1582">
        <v>3</v>
      </c>
      <c r="T1582" t="b">
        <v>0</v>
      </c>
      <c r="U1582">
        <v>3</v>
      </c>
      <c r="V1582" s="4">
        <v>45.61</v>
      </c>
    </row>
    <row r="1583" spans="1:22" x14ac:dyDescent="0.35">
      <c r="A1583" t="s">
        <v>27</v>
      </c>
      <c r="B1583">
        <v>2</v>
      </c>
      <c r="C1583">
        <v>3</v>
      </c>
      <c r="D1583">
        <v>10</v>
      </c>
      <c r="E1583" t="s">
        <v>29</v>
      </c>
      <c r="F1583">
        <v>50</v>
      </c>
      <c r="G1583">
        <v>3</v>
      </c>
      <c r="H1583">
        <v>20</v>
      </c>
      <c r="I1583" t="s">
        <v>26</v>
      </c>
      <c r="J1583" s="3">
        <v>618.91462899999999</v>
      </c>
      <c r="K1583" s="3">
        <v>21839.781999999999</v>
      </c>
      <c r="L1583" s="3">
        <v>25378.674999999999</v>
      </c>
      <c r="M1583" s="3">
        <v>21839.781999999999</v>
      </c>
      <c r="N1583" s="3">
        <v>19642.361000000001</v>
      </c>
      <c r="O1583" s="4">
        <v>11.187200000000001</v>
      </c>
      <c r="P1583" s="4">
        <v>29.203800000000001</v>
      </c>
      <c r="Q1583" s="4">
        <v>11.187200000000001</v>
      </c>
      <c r="R1583" s="5">
        <v>2.0000000000000001E-4</v>
      </c>
      <c r="S1583">
        <v>2</v>
      </c>
      <c r="T1583" t="b">
        <v>0</v>
      </c>
      <c r="U1583">
        <v>2</v>
      </c>
      <c r="V1583" s="4">
        <v>132.97999999999999</v>
      </c>
    </row>
    <row r="1584" spans="1:22" x14ac:dyDescent="0.35">
      <c r="A1584" t="s">
        <v>27</v>
      </c>
      <c r="B1584">
        <v>2</v>
      </c>
      <c r="C1584">
        <v>3</v>
      </c>
      <c r="D1584">
        <v>10</v>
      </c>
      <c r="E1584" t="s">
        <v>29</v>
      </c>
      <c r="F1584">
        <v>200</v>
      </c>
      <c r="G1584">
        <v>1</v>
      </c>
      <c r="H1584">
        <v>20</v>
      </c>
      <c r="I1584" t="s">
        <v>26</v>
      </c>
      <c r="J1584" s="3">
        <v>705.40421500000002</v>
      </c>
      <c r="K1584" s="3">
        <v>21565.5</v>
      </c>
      <c r="L1584" s="3">
        <v>21565.5</v>
      </c>
      <c r="M1584" s="3">
        <v>21565.5</v>
      </c>
      <c r="N1584" s="3">
        <v>19642.361000000001</v>
      </c>
      <c r="O1584" s="4">
        <v>9.7908000000000008</v>
      </c>
      <c r="P1584" s="4">
        <v>9.7908000000000008</v>
      </c>
      <c r="Q1584" s="4">
        <v>9.7908000000000008</v>
      </c>
      <c r="R1584" s="5">
        <v>2.9999999999999997E-4</v>
      </c>
      <c r="S1584">
        <v>3</v>
      </c>
      <c r="T1584" t="b">
        <v>0</v>
      </c>
      <c r="U1584">
        <v>1</v>
      </c>
      <c r="V1584" s="4">
        <v>134.09</v>
      </c>
    </row>
    <row r="1585" spans="1:22" x14ac:dyDescent="0.35">
      <c r="A1585" t="s">
        <v>27</v>
      </c>
      <c r="B1585">
        <v>2</v>
      </c>
      <c r="C1585">
        <v>3</v>
      </c>
      <c r="D1585">
        <v>10</v>
      </c>
      <c r="E1585" t="s">
        <v>29</v>
      </c>
      <c r="F1585">
        <v>200</v>
      </c>
      <c r="G1585">
        <v>3</v>
      </c>
      <c r="H1585">
        <v>20</v>
      </c>
      <c r="I1585" t="s">
        <v>26</v>
      </c>
      <c r="J1585" s="3">
        <v>491.50177400000001</v>
      </c>
      <c r="K1585" s="3">
        <v>23702.118999999999</v>
      </c>
      <c r="L1585" s="3">
        <v>23702.118999999999</v>
      </c>
      <c r="M1585" s="3">
        <v>23702.118999999999</v>
      </c>
      <c r="N1585" s="3">
        <v>19642.361000000001</v>
      </c>
      <c r="O1585" s="4">
        <v>20.668399999999998</v>
      </c>
      <c r="P1585" s="4">
        <v>20.668399999999998</v>
      </c>
      <c r="Q1585" s="4">
        <v>20.668399999999998</v>
      </c>
      <c r="R1585" s="5">
        <v>1E-4</v>
      </c>
      <c r="S1585">
        <v>1</v>
      </c>
      <c r="T1585" t="b">
        <v>0</v>
      </c>
      <c r="U1585">
        <v>1</v>
      </c>
      <c r="V1585" s="4">
        <v>416.04</v>
      </c>
    </row>
    <row r="1586" spans="1:22" x14ac:dyDescent="0.35">
      <c r="A1586" t="s">
        <v>27</v>
      </c>
      <c r="B1586">
        <v>3</v>
      </c>
      <c r="C1586">
        <v>1</v>
      </c>
      <c r="D1586">
        <v>2</v>
      </c>
      <c r="E1586" t="s">
        <v>29</v>
      </c>
      <c r="F1586">
        <v>50</v>
      </c>
      <c r="G1586">
        <v>1</v>
      </c>
      <c r="H1586">
        <v>20</v>
      </c>
      <c r="I1586" t="s">
        <v>26</v>
      </c>
      <c r="J1586" s="3">
        <v>164.96355199999999</v>
      </c>
      <c r="K1586" s="3">
        <v>25440.276000000002</v>
      </c>
      <c r="L1586" s="3">
        <v>27521.069</v>
      </c>
      <c r="M1586" s="3">
        <v>25440.276000000002</v>
      </c>
      <c r="N1586" s="3">
        <v>23577.938999999998</v>
      </c>
      <c r="O1586" s="4">
        <v>7.8986000000000001</v>
      </c>
      <c r="P1586" s="4">
        <v>16.723800000000001</v>
      </c>
      <c r="Q1586" s="4">
        <v>7.8986000000000001</v>
      </c>
      <c r="R1586" s="5">
        <v>4.0000000000000002E-4</v>
      </c>
      <c r="S1586">
        <v>4</v>
      </c>
      <c r="T1586" t="b">
        <v>0</v>
      </c>
      <c r="U1586">
        <v>4</v>
      </c>
      <c r="V1586" s="4">
        <v>29.15</v>
      </c>
    </row>
    <row r="1587" spans="1:22" x14ac:dyDescent="0.35">
      <c r="A1587" t="s">
        <v>27</v>
      </c>
      <c r="B1587">
        <v>3</v>
      </c>
      <c r="C1587">
        <v>1</v>
      </c>
      <c r="D1587">
        <v>2</v>
      </c>
      <c r="E1587" t="s">
        <v>29</v>
      </c>
      <c r="F1587">
        <v>50</v>
      </c>
      <c r="G1587">
        <v>3</v>
      </c>
      <c r="H1587">
        <v>20</v>
      </c>
      <c r="I1587" t="s">
        <v>26</v>
      </c>
      <c r="J1587" s="3">
        <v>163.052728</v>
      </c>
      <c r="K1587" s="3">
        <v>23577.938999999998</v>
      </c>
      <c r="L1587" s="3">
        <v>25440.276000000002</v>
      </c>
      <c r="M1587" s="3">
        <v>23577.938999999998</v>
      </c>
      <c r="N1587" s="3">
        <v>23577.938999999998</v>
      </c>
      <c r="O1587" s="4">
        <v>0</v>
      </c>
      <c r="P1587" s="4">
        <v>7.8986000000000001</v>
      </c>
      <c r="Q1587" s="4">
        <v>0</v>
      </c>
      <c r="R1587" s="5">
        <v>2.0000000000000001E-4</v>
      </c>
      <c r="S1587">
        <v>2</v>
      </c>
      <c r="T1587" t="b">
        <v>0</v>
      </c>
      <c r="U1587">
        <v>2</v>
      </c>
      <c r="V1587" s="4">
        <v>85.84</v>
      </c>
    </row>
    <row r="1588" spans="1:22" x14ac:dyDescent="0.35">
      <c r="A1588" t="s">
        <v>27</v>
      </c>
      <c r="B1588">
        <v>3</v>
      </c>
      <c r="C1588">
        <v>1</v>
      </c>
      <c r="D1588">
        <v>2</v>
      </c>
      <c r="E1588" t="s">
        <v>29</v>
      </c>
      <c r="F1588">
        <v>200</v>
      </c>
      <c r="G1588">
        <v>1</v>
      </c>
      <c r="H1588">
        <v>20</v>
      </c>
      <c r="I1588" t="s">
        <v>26</v>
      </c>
      <c r="J1588" s="3">
        <v>164.81424000000001</v>
      </c>
      <c r="K1588" s="3">
        <v>25501.078000000001</v>
      </c>
      <c r="L1588" s="3">
        <v>25501.078000000001</v>
      </c>
      <c r="M1588" s="3">
        <v>25501.078000000001</v>
      </c>
      <c r="N1588" s="3">
        <v>23577.938999999998</v>
      </c>
      <c r="O1588" s="4">
        <v>8.1564999999999994</v>
      </c>
      <c r="P1588" s="4">
        <v>8.1564999999999994</v>
      </c>
      <c r="Q1588" s="4">
        <v>8.1564999999999994</v>
      </c>
      <c r="R1588" s="5">
        <v>1E-4</v>
      </c>
      <c r="S1588">
        <v>1</v>
      </c>
      <c r="T1588" t="b">
        <v>0</v>
      </c>
      <c r="U1588">
        <v>1</v>
      </c>
      <c r="V1588" s="4">
        <v>85.75</v>
      </c>
    </row>
    <row r="1589" spans="1:22" x14ac:dyDescent="0.35">
      <c r="A1589" t="s">
        <v>27</v>
      </c>
      <c r="B1589">
        <v>3</v>
      </c>
      <c r="C1589">
        <v>1</v>
      </c>
      <c r="D1589">
        <v>2</v>
      </c>
      <c r="E1589" t="s">
        <v>29</v>
      </c>
      <c r="F1589">
        <v>200</v>
      </c>
      <c r="G1589">
        <v>3</v>
      </c>
      <c r="H1589">
        <v>20</v>
      </c>
      <c r="I1589" t="s">
        <v>26</v>
      </c>
      <c r="J1589" s="3">
        <v>162.48239699999999</v>
      </c>
      <c r="K1589" s="3">
        <v>25501.078000000001</v>
      </c>
      <c r="L1589" s="3">
        <v>27637.697</v>
      </c>
      <c r="M1589" s="3">
        <v>25501.078000000001</v>
      </c>
      <c r="N1589" s="3">
        <v>23577.938999999998</v>
      </c>
      <c r="O1589" s="4">
        <v>8.1564999999999994</v>
      </c>
      <c r="P1589" s="4">
        <v>17.218499999999999</v>
      </c>
      <c r="Q1589" s="4">
        <v>8.1564999999999994</v>
      </c>
      <c r="R1589" s="5">
        <v>2.0000000000000001E-4</v>
      </c>
      <c r="S1589">
        <v>2</v>
      </c>
      <c r="T1589" t="b">
        <v>0</v>
      </c>
      <c r="U1589">
        <v>2</v>
      </c>
      <c r="V1589" s="4">
        <v>255.02</v>
      </c>
    </row>
    <row r="1590" spans="1:22" x14ac:dyDescent="0.35">
      <c r="A1590" t="s">
        <v>27</v>
      </c>
      <c r="B1590">
        <v>3</v>
      </c>
      <c r="C1590">
        <v>1</v>
      </c>
      <c r="D1590">
        <v>5</v>
      </c>
      <c r="E1590" t="s">
        <v>29</v>
      </c>
      <c r="F1590">
        <v>50</v>
      </c>
      <c r="G1590">
        <v>1</v>
      </c>
      <c r="H1590">
        <v>20</v>
      </c>
      <c r="I1590" t="s">
        <v>26</v>
      </c>
      <c r="J1590" s="3">
        <v>400.21745700000002</v>
      </c>
      <c r="K1590" s="3">
        <v>23577.938999999998</v>
      </c>
      <c r="L1590" s="3">
        <v>27233.46</v>
      </c>
      <c r="M1590" s="3">
        <v>23577.938999999998</v>
      </c>
      <c r="N1590" s="3">
        <v>23577.938999999998</v>
      </c>
      <c r="O1590" s="4">
        <v>0</v>
      </c>
      <c r="P1590" s="4">
        <v>15.504</v>
      </c>
      <c r="Q1590" s="4">
        <v>0</v>
      </c>
      <c r="R1590" s="5">
        <v>6.9999999999999999E-4</v>
      </c>
      <c r="S1590">
        <v>5</v>
      </c>
      <c r="T1590" t="b">
        <v>0</v>
      </c>
      <c r="U1590">
        <v>4</v>
      </c>
      <c r="V1590" s="4">
        <v>29.61</v>
      </c>
    </row>
    <row r="1591" spans="1:22" x14ac:dyDescent="0.35">
      <c r="A1591" t="s">
        <v>27</v>
      </c>
      <c r="B1591">
        <v>3</v>
      </c>
      <c r="C1591">
        <v>1</v>
      </c>
      <c r="D1591">
        <v>5</v>
      </c>
      <c r="E1591" t="s">
        <v>29</v>
      </c>
      <c r="F1591">
        <v>50</v>
      </c>
      <c r="G1591">
        <v>3</v>
      </c>
      <c r="H1591">
        <v>20</v>
      </c>
      <c r="I1591" t="s">
        <v>26</v>
      </c>
      <c r="J1591" s="3">
        <v>400.21745700000002</v>
      </c>
      <c r="K1591" s="3">
        <v>23577.938999999998</v>
      </c>
      <c r="L1591" s="3">
        <v>27233.46</v>
      </c>
      <c r="M1591" s="3">
        <v>23577.938999999998</v>
      </c>
      <c r="N1591" s="3">
        <v>23577.938999999998</v>
      </c>
      <c r="O1591" s="4">
        <v>0</v>
      </c>
      <c r="P1591" s="4">
        <v>15.504</v>
      </c>
      <c r="Q1591" s="4">
        <v>0</v>
      </c>
      <c r="R1591" s="5">
        <v>6.9999999999999999E-4</v>
      </c>
      <c r="S1591">
        <v>5</v>
      </c>
      <c r="T1591" t="b">
        <v>0</v>
      </c>
      <c r="U1591">
        <v>4</v>
      </c>
      <c r="V1591" s="4">
        <v>85.58</v>
      </c>
    </row>
    <row r="1592" spans="1:22" x14ac:dyDescent="0.35">
      <c r="A1592" t="s">
        <v>27</v>
      </c>
      <c r="B1592">
        <v>3</v>
      </c>
      <c r="C1592">
        <v>1</v>
      </c>
      <c r="D1592">
        <v>5</v>
      </c>
      <c r="E1592" t="s">
        <v>29</v>
      </c>
      <c r="F1592">
        <v>200</v>
      </c>
      <c r="G1592">
        <v>1</v>
      </c>
      <c r="H1592">
        <v>20</v>
      </c>
      <c r="I1592" t="s">
        <v>26</v>
      </c>
      <c r="J1592" s="3">
        <v>402.49232000000001</v>
      </c>
      <c r="K1592" s="3">
        <v>23577.938999999998</v>
      </c>
      <c r="L1592" s="3">
        <v>25440.276000000002</v>
      </c>
      <c r="M1592" s="3">
        <v>23577.938999999998</v>
      </c>
      <c r="N1592" s="3">
        <v>23577.938999999998</v>
      </c>
      <c r="O1592" s="4">
        <v>0</v>
      </c>
      <c r="P1592" s="4">
        <v>7.8986000000000001</v>
      </c>
      <c r="Q1592" s="4">
        <v>0</v>
      </c>
      <c r="R1592" s="5">
        <v>8.0000000000000004E-4</v>
      </c>
      <c r="S1592">
        <v>6</v>
      </c>
      <c r="T1592" t="b">
        <v>0</v>
      </c>
      <c r="U1592">
        <v>5</v>
      </c>
      <c r="V1592" s="4">
        <v>85.77</v>
      </c>
    </row>
    <row r="1593" spans="1:22" x14ac:dyDescent="0.35">
      <c r="A1593" t="s">
        <v>27</v>
      </c>
      <c r="B1593">
        <v>3</v>
      </c>
      <c r="C1593">
        <v>1</v>
      </c>
      <c r="D1593">
        <v>5</v>
      </c>
      <c r="E1593" t="s">
        <v>29</v>
      </c>
      <c r="F1593">
        <v>200</v>
      </c>
      <c r="G1593">
        <v>3</v>
      </c>
      <c r="H1593">
        <v>20</v>
      </c>
      <c r="I1593" t="s">
        <v>26</v>
      </c>
      <c r="J1593" s="3">
        <v>399.272989</v>
      </c>
      <c r="K1593" s="3">
        <v>25501.078000000001</v>
      </c>
      <c r="L1593" s="3">
        <v>25501.078000000001</v>
      </c>
      <c r="M1593" s="3">
        <v>25501.078000000001</v>
      </c>
      <c r="N1593" s="3">
        <v>23577.938999999998</v>
      </c>
      <c r="O1593" s="4">
        <v>8.1564999999999994</v>
      </c>
      <c r="P1593" s="4">
        <v>8.1564999999999994</v>
      </c>
      <c r="Q1593" s="4">
        <v>8.1564999999999994</v>
      </c>
      <c r="R1593" s="5">
        <v>1E-4</v>
      </c>
      <c r="S1593">
        <v>1</v>
      </c>
      <c r="T1593" t="b">
        <v>0</v>
      </c>
      <c r="U1593">
        <v>1</v>
      </c>
      <c r="V1593" s="4">
        <v>255.43</v>
      </c>
    </row>
    <row r="1594" spans="1:22" x14ac:dyDescent="0.35">
      <c r="A1594" t="s">
        <v>27</v>
      </c>
      <c r="B1594">
        <v>3</v>
      </c>
      <c r="C1594">
        <v>1</v>
      </c>
      <c r="D1594">
        <v>10</v>
      </c>
      <c r="E1594" t="s">
        <v>29</v>
      </c>
      <c r="F1594">
        <v>50</v>
      </c>
      <c r="G1594">
        <v>1</v>
      </c>
      <c r="H1594">
        <v>20</v>
      </c>
      <c r="I1594" t="s">
        <v>26</v>
      </c>
      <c r="J1594" s="3">
        <v>792.79994199999999</v>
      </c>
      <c r="K1594" s="3">
        <v>23577.938999999998</v>
      </c>
      <c r="L1594" s="3">
        <v>25501.078000000001</v>
      </c>
      <c r="M1594" s="3">
        <v>23577.938999999998</v>
      </c>
      <c r="N1594" s="3">
        <v>23577.938999999998</v>
      </c>
      <c r="O1594" s="4">
        <v>0</v>
      </c>
      <c r="P1594" s="4">
        <v>8.1564999999999994</v>
      </c>
      <c r="Q1594" s="4">
        <v>0</v>
      </c>
      <c r="R1594" s="5">
        <v>5.9999999999999995E-4</v>
      </c>
      <c r="S1594">
        <v>5</v>
      </c>
      <c r="T1594" t="b">
        <v>0</v>
      </c>
      <c r="U1594">
        <v>3</v>
      </c>
      <c r="V1594" s="4">
        <v>29.09</v>
      </c>
    </row>
    <row r="1595" spans="1:22" x14ac:dyDescent="0.35">
      <c r="A1595" t="s">
        <v>27</v>
      </c>
      <c r="B1595">
        <v>3</v>
      </c>
      <c r="C1595">
        <v>1</v>
      </c>
      <c r="D1595">
        <v>10</v>
      </c>
      <c r="E1595" t="s">
        <v>29</v>
      </c>
      <c r="F1595">
        <v>50</v>
      </c>
      <c r="G1595">
        <v>3</v>
      </c>
      <c r="H1595">
        <v>20</v>
      </c>
      <c r="I1595" t="s">
        <v>26</v>
      </c>
      <c r="J1595" s="3">
        <v>786.39757999999995</v>
      </c>
      <c r="K1595" s="3" t="s">
        <v>24</v>
      </c>
      <c r="L1595" s="3" t="s">
        <v>24</v>
      </c>
      <c r="M1595" s="3" t="s">
        <v>24</v>
      </c>
      <c r="N1595" s="3">
        <v>23577.938999999998</v>
      </c>
      <c r="O1595" s="4"/>
      <c r="P1595" s="4"/>
      <c r="Q1595" s="4"/>
      <c r="R1595" s="5">
        <v>0</v>
      </c>
      <c r="S1595">
        <v>0</v>
      </c>
      <c r="T1595" t="b">
        <v>1</v>
      </c>
      <c r="U1595">
        <v>-1</v>
      </c>
      <c r="V1595" s="4">
        <v>85.93</v>
      </c>
    </row>
    <row r="1596" spans="1:22" x14ac:dyDescent="0.35">
      <c r="A1596" t="s">
        <v>27</v>
      </c>
      <c r="B1596">
        <v>3</v>
      </c>
      <c r="C1596">
        <v>1</v>
      </c>
      <c r="D1596">
        <v>10</v>
      </c>
      <c r="E1596" t="s">
        <v>29</v>
      </c>
      <c r="F1596">
        <v>200</v>
      </c>
      <c r="G1596">
        <v>1</v>
      </c>
      <c r="H1596">
        <v>20</v>
      </c>
      <c r="I1596" t="s">
        <v>26</v>
      </c>
      <c r="J1596" s="3">
        <v>797.27166199999999</v>
      </c>
      <c r="K1596" s="3">
        <v>23577.938999999998</v>
      </c>
      <c r="L1596" s="3">
        <v>23577.938999999998</v>
      </c>
      <c r="M1596" s="3">
        <v>23577.938999999998</v>
      </c>
      <c r="N1596" s="3">
        <v>23577.938999999998</v>
      </c>
      <c r="O1596" s="4">
        <v>0</v>
      </c>
      <c r="P1596" s="4">
        <v>0</v>
      </c>
      <c r="Q1596" s="4">
        <v>0</v>
      </c>
      <c r="R1596" s="5">
        <v>4.0000000000000002E-4</v>
      </c>
      <c r="S1596">
        <v>3</v>
      </c>
      <c r="T1596" t="b">
        <v>0</v>
      </c>
      <c r="U1596">
        <v>1</v>
      </c>
      <c r="V1596" s="4">
        <v>85.86</v>
      </c>
    </row>
    <row r="1597" spans="1:22" x14ac:dyDescent="0.35">
      <c r="A1597" t="s">
        <v>27</v>
      </c>
      <c r="B1597">
        <v>3</v>
      </c>
      <c r="C1597">
        <v>1</v>
      </c>
      <c r="D1597">
        <v>10</v>
      </c>
      <c r="E1597" t="s">
        <v>29</v>
      </c>
      <c r="F1597">
        <v>200</v>
      </c>
      <c r="G1597">
        <v>3</v>
      </c>
      <c r="H1597">
        <v>20</v>
      </c>
      <c r="I1597" t="s">
        <v>26</v>
      </c>
      <c r="J1597" s="3">
        <v>789.71086100000002</v>
      </c>
      <c r="K1597" s="3" t="s">
        <v>24</v>
      </c>
      <c r="L1597" s="3" t="s">
        <v>24</v>
      </c>
      <c r="M1597" s="3" t="s">
        <v>24</v>
      </c>
      <c r="N1597" s="3">
        <v>23577.938999999998</v>
      </c>
      <c r="O1597" s="4"/>
      <c r="P1597" s="4"/>
      <c r="Q1597" s="4"/>
      <c r="R1597" s="5">
        <v>0</v>
      </c>
      <c r="S1597">
        <v>0</v>
      </c>
      <c r="T1597" t="b">
        <v>1</v>
      </c>
      <c r="U1597">
        <v>-1</v>
      </c>
      <c r="V1597" s="4">
        <v>254.89</v>
      </c>
    </row>
    <row r="1598" spans="1:22" x14ac:dyDescent="0.35">
      <c r="A1598" t="s">
        <v>27</v>
      </c>
      <c r="B1598">
        <v>3</v>
      </c>
      <c r="C1598">
        <v>3</v>
      </c>
      <c r="D1598">
        <v>2</v>
      </c>
      <c r="E1598" t="s">
        <v>29</v>
      </c>
      <c r="F1598">
        <v>50</v>
      </c>
      <c r="G1598">
        <v>1</v>
      </c>
      <c r="H1598">
        <v>20</v>
      </c>
      <c r="I1598" t="s">
        <v>26</v>
      </c>
      <c r="J1598" s="3">
        <v>163.28935999999999</v>
      </c>
      <c r="K1598" s="3">
        <v>27521.069</v>
      </c>
      <c r="L1598" s="3">
        <v>27521.069</v>
      </c>
      <c r="M1598" s="3">
        <v>27521.069</v>
      </c>
      <c r="N1598" s="3">
        <v>23577.938999999998</v>
      </c>
      <c r="O1598" s="4">
        <v>16.723800000000001</v>
      </c>
      <c r="P1598" s="4">
        <v>16.723800000000001</v>
      </c>
      <c r="Q1598" s="4">
        <v>16.723800000000001</v>
      </c>
      <c r="R1598" s="5">
        <v>1E-4</v>
      </c>
      <c r="S1598">
        <v>1</v>
      </c>
      <c r="T1598" t="b">
        <v>0</v>
      </c>
      <c r="U1598">
        <v>1</v>
      </c>
      <c r="V1598" s="4">
        <v>45.53</v>
      </c>
    </row>
    <row r="1599" spans="1:22" x14ac:dyDescent="0.35">
      <c r="A1599" t="s">
        <v>27</v>
      </c>
      <c r="B1599">
        <v>3</v>
      </c>
      <c r="C1599">
        <v>3</v>
      </c>
      <c r="D1599">
        <v>2</v>
      </c>
      <c r="E1599" t="s">
        <v>29</v>
      </c>
      <c r="F1599">
        <v>50</v>
      </c>
      <c r="G1599">
        <v>3</v>
      </c>
      <c r="H1599">
        <v>20</v>
      </c>
      <c r="I1599" t="s">
        <v>26</v>
      </c>
      <c r="J1599" s="3">
        <v>162.41688199999999</v>
      </c>
      <c r="K1599" s="3">
        <v>27637.697</v>
      </c>
      <c r="L1599" s="3">
        <v>27637.697</v>
      </c>
      <c r="M1599" s="3">
        <v>27637.697</v>
      </c>
      <c r="N1599" s="3">
        <v>23577.938999999998</v>
      </c>
      <c r="O1599" s="4">
        <v>17.218499999999999</v>
      </c>
      <c r="P1599" s="4">
        <v>17.218499999999999</v>
      </c>
      <c r="Q1599" s="4">
        <v>17.218499999999999</v>
      </c>
      <c r="R1599" s="5">
        <v>2.0000000000000001E-4</v>
      </c>
      <c r="S1599">
        <v>2</v>
      </c>
      <c r="T1599" t="b">
        <v>0</v>
      </c>
      <c r="U1599">
        <v>1</v>
      </c>
      <c r="V1599" s="4">
        <v>133.35</v>
      </c>
    </row>
    <row r="1600" spans="1:22" x14ac:dyDescent="0.35">
      <c r="A1600" t="s">
        <v>27</v>
      </c>
      <c r="B1600">
        <v>3</v>
      </c>
      <c r="C1600">
        <v>3</v>
      </c>
      <c r="D1600">
        <v>2</v>
      </c>
      <c r="E1600" t="s">
        <v>29</v>
      </c>
      <c r="F1600">
        <v>200</v>
      </c>
      <c r="G1600">
        <v>1</v>
      </c>
      <c r="H1600">
        <v>20</v>
      </c>
      <c r="I1600" t="s">
        <v>26</v>
      </c>
      <c r="J1600" s="3">
        <v>163.962335</v>
      </c>
      <c r="K1600" s="3">
        <v>27233.46</v>
      </c>
      <c r="L1600" s="3">
        <v>27233.46</v>
      </c>
      <c r="M1600" s="3">
        <v>27233.46</v>
      </c>
      <c r="N1600" s="3">
        <v>23577.938999999998</v>
      </c>
      <c r="O1600" s="4">
        <v>15.504</v>
      </c>
      <c r="P1600" s="4">
        <v>15.504</v>
      </c>
      <c r="Q1600" s="4">
        <v>15.504</v>
      </c>
      <c r="R1600" s="5">
        <v>1E-4</v>
      </c>
      <c r="S1600">
        <v>1</v>
      </c>
      <c r="T1600" t="b">
        <v>0</v>
      </c>
      <c r="U1600">
        <v>1</v>
      </c>
      <c r="V1600" s="4">
        <v>132.56</v>
      </c>
    </row>
    <row r="1601" spans="1:22" x14ac:dyDescent="0.35">
      <c r="A1601" t="s">
        <v>27</v>
      </c>
      <c r="B1601">
        <v>3</v>
      </c>
      <c r="C1601">
        <v>3</v>
      </c>
      <c r="D1601">
        <v>2</v>
      </c>
      <c r="E1601" t="s">
        <v>29</v>
      </c>
      <c r="F1601">
        <v>200</v>
      </c>
      <c r="G1601">
        <v>3</v>
      </c>
      <c r="H1601">
        <v>20</v>
      </c>
      <c r="I1601" t="s">
        <v>26</v>
      </c>
      <c r="J1601" s="3">
        <v>162.002138</v>
      </c>
      <c r="K1601" s="3" t="s">
        <v>24</v>
      </c>
      <c r="L1601" s="3" t="s">
        <v>24</v>
      </c>
      <c r="M1601" s="3" t="s">
        <v>24</v>
      </c>
      <c r="N1601" s="3">
        <v>23577.938999999998</v>
      </c>
      <c r="O1601" s="4"/>
      <c r="P1601" s="4"/>
      <c r="Q1601" s="4"/>
      <c r="R1601" s="5">
        <v>0</v>
      </c>
      <c r="S1601">
        <v>0</v>
      </c>
      <c r="T1601" t="b">
        <v>1</v>
      </c>
      <c r="U1601">
        <v>-1</v>
      </c>
      <c r="V1601" s="4">
        <v>396.2</v>
      </c>
    </row>
    <row r="1602" spans="1:22" x14ac:dyDescent="0.35">
      <c r="A1602" t="s">
        <v>27</v>
      </c>
      <c r="B1602">
        <v>3</v>
      </c>
      <c r="C1602">
        <v>3</v>
      </c>
      <c r="D1602">
        <v>5</v>
      </c>
      <c r="E1602" t="s">
        <v>29</v>
      </c>
      <c r="F1602">
        <v>50</v>
      </c>
      <c r="G1602">
        <v>1</v>
      </c>
      <c r="H1602">
        <v>20</v>
      </c>
      <c r="I1602" t="s">
        <v>26</v>
      </c>
      <c r="J1602" s="3">
        <v>401.29533700000002</v>
      </c>
      <c r="K1602" s="3">
        <v>25440.276000000002</v>
      </c>
      <c r="L1602" s="3">
        <v>27637.697</v>
      </c>
      <c r="M1602" s="3">
        <v>25440.276000000002</v>
      </c>
      <c r="N1602" s="3">
        <v>23577.938999999998</v>
      </c>
      <c r="O1602" s="4">
        <v>7.8986000000000001</v>
      </c>
      <c r="P1602" s="4">
        <v>17.218499999999999</v>
      </c>
      <c r="Q1602" s="4">
        <v>7.8986000000000001</v>
      </c>
      <c r="R1602" s="5">
        <v>2.9999999999999997E-4</v>
      </c>
      <c r="S1602">
        <v>3</v>
      </c>
      <c r="T1602" t="b">
        <v>0</v>
      </c>
      <c r="U1602">
        <v>3</v>
      </c>
      <c r="V1602" s="4">
        <v>45.05</v>
      </c>
    </row>
    <row r="1603" spans="1:22" x14ac:dyDescent="0.35">
      <c r="A1603" t="s">
        <v>27</v>
      </c>
      <c r="B1603">
        <v>3</v>
      </c>
      <c r="C1603">
        <v>3</v>
      </c>
      <c r="D1603">
        <v>5</v>
      </c>
      <c r="E1603" t="s">
        <v>29</v>
      </c>
      <c r="F1603">
        <v>50</v>
      </c>
      <c r="G1603">
        <v>3</v>
      </c>
      <c r="H1603">
        <v>20</v>
      </c>
      <c r="I1603" t="s">
        <v>26</v>
      </c>
      <c r="J1603" s="3">
        <v>401.29533700000002</v>
      </c>
      <c r="K1603" s="3">
        <v>25440.276000000002</v>
      </c>
      <c r="L1603" s="3">
        <v>27637.697</v>
      </c>
      <c r="M1603" s="3">
        <v>25440.276000000002</v>
      </c>
      <c r="N1603" s="3">
        <v>23577.938999999998</v>
      </c>
      <c r="O1603" s="4">
        <v>7.8986000000000001</v>
      </c>
      <c r="P1603" s="4">
        <v>17.218499999999999</v>
      </c>
      <c r="Q1603" s="4">
        <v>7.8986000000000001</v>
      </c>
      <c r="R1603" s="5">
        <v>2.9999999999999997E-4</v>
      </c>
      <c r="S1603">
        <v>3</v>
      </c>
      <c r="T1603" t="b">
        <v>0</v>
      </c>
      <c r="U1603">
        <v>3</v>
      </c>
      <c r="V1603" s="4">
        <v>132.94</v>
      </c>
    </row>
    <row r="1604" spans="1:22" x14ac:dyDescent="0.35">
      <c r="A1604" t="s">
        <v>27</v>
      </c>
      <c r="B1604">
        <v>3</v>
      </c>
      <c r="C1604">
        <v>3</v>
      </c>
      <c r="D1604">
        <v>5</v>
      </c>
      <c r="E1604" t="s">
        <v>29</v>
      </c>
      <c r="F1604">
        <v>200</v>
      </c>
      <c r="G1604">
        <v>1</v>
      </c>
      <c r="H1604">
        <v>20</v>
      </c>
      <c r="I1604" t="s">
        <v>26</v>
      </c>
      <c r="J1604" s="3">
        <v>402.16042199999998</v>
      </c>
      <c r="K1604" s="3" t="s">
        <v>24</v>
      </c>
      <c r="L1604" s="3" t="s">
        <v>24</v>
      </c>
      <c r="M1604" s="3" t="s">
        <v>24</v>
      </c>
      <c r="N1604" s="3">
        <v>23577.938999999998</v>
      </c>
      <c r="O1604" s="4"/>
      <c r="P1604" s="4"/>
      <c r="Q1604" s="4"/>
      <c r="R1604" s="5">
        <v>0</v>
      </c>
      <c r="S1604">
        <v>0</v>
      </c>
      <c r="T1604" t="b">
        <v>1</v>
      </c>
      <c r="U1604">
        <v>-1</v>
      </c>
      <c r="V1604" s="4">
        <v>133.41</v>
      </c>
    </row>
    <row r="1605" spans="1:22" x14ac:dyDescent="0.35">
      <c r="A1605" t="s">
        <v>27</v>
      </c>
      <c r="B1605">
        <v>3</v>
      </c>
      <c r="C1605">
        <v>3</v>
      </c>
      <c r="D1605">
        <v>5</v>
      </c>
      <c r="E1605" t="s">
        <v>29</v>
      </c>
      <c r="F1605">
        <v>200</v>
      </c>
      <c r="G1605">
        <v>3</v>
      </c>
      <c r="H1605">
        <v>20</v>
      </c>
      <c r="I1605" t="s">
        <v>26</v>
      </c>
      <c r="J1605" s="3">
        <v>185.26044899999999</v>
      </c>
      <c r="K1605" s="3">
        <v>23577.938999999998</v>
      </c>
      <c r="L1605" s="3">
        <v>25501.078000000001</v>
      </c>
      <c r="M1605" s="3">
        <v>23577.938999999998</v>
      </c>
      <c r="N1605" s="3">
        <v>23577.938999999998</v>
      </c>
      <c r="O1605" s="4">
        <v>0</v>
      </c>
      <c r="P1605" s="4">
        <v>8.1564999999999994</v>
      </c>
      <c r="Q1605" s="4">
        <v>0</v>
      </c>
      <c r="R1605" s="5">
        <v>6.7000000000000002E-3</v>
      </c>
      <c r="S1605">
        <v>12</v>
      </c>
      <c r="T1605" t="b">
        <v>0</v>
      </c>
      <c r="U1605">
        <v>12</v>
      </c>
      <c r="V1605" s="4">
        <v>392.82</v>
      </c>
    </row>
    <row r="1606" spans="1:22" x14ac:dyDescent="0.35">
      <c r="A1606" t="s">
        <v>27</v>
      </c>
      <c r="B1606">
        <v>3</v>
      </c>
      <c r="C1606">
        <v>3</v>
      </c>
      <c r="D1606">
        <v>10</v>
      </c>
      <c r="E1606" t="s">
        <v>29</v>
      </c>
      <c r="F1606">
        <v>50</v>
      </c>
      <c r="G1606">
        <v>1</v>
      </c>
      <c r="H1606">
        <v>20</v>
      </c>
      <c r="I1606" t="s">
        <v>26</v>
      </c>
      <c r="J1606" s="3">
        <v>810.30206699999997</v>
      </c>
      <c r="K1606" s="3" t="s">
        <v>24</v>
      </c>
      <c r="L1606" s="3" t="s">
        <v>24</v>
      </c>
      <c r="M1606" s="3" t="s">
        <v>24</v>
      </c>
      <c r="N1606" s="3">
        <v>23577.938999999998</v>
      </c>
      <c r="O1606" s="4"/>
      <c r="P1606" s="4"/>
      <c r="Q1606" s="4"/>
      <c r="R1606" s="5">
        <v>0</v>
      </c>
      <c r="S1606">
        <v>0</v>
      </c>
      <c r="T1606" t="b">
        <v>1</v>
      </c>
      <c r="U1606">
        <v>-1</v>
      </c>
      <c r="V1606" s="4">
        <v>45.34</v>
      </c>
    </row>
    <row r="1607" spans="1:22" x14ac:dyDescent="0.35">
      <c r="A1607" t="s">
        <v>27</v>
      </c>
      <c r="B1607">
        <v>3</v>
      </c>
      <c r="C1607">
        <v>3</v>
      </c>
      <c r="D1607">
        <v>10</v>
      </c>
      <c r="E1607" t="s">
        <v>29</v>
      </c>
      <c r="F1607">
        <v>50</v>
      </c>
      <c r="G1607">
        <v>3</v>
      </c>
      <c r="H1607">
        <v>20</v>
      </c>
      <c r="I1607" t="s">
        <v>26</v>
      </c>
      <c r="J1607" s="3">
        <v>636.94544499999995</v>
      </c>
      <c r="K1607" s="3">
        <v>25440.276000000002</v>
      </c>
      <c r="L1607" s="3">
        <v>25440.276000000002</v>
      </c>
      <c r="M1607" s="3">
        <v>25440.276000000002</v>
      </c>
      <c r="N1607" s="3">
        <v>23577.938999999998</v>
      </c>
      <c r="O1607" s="4">
        <v>7.8986000000000001</v>
      </c>
      <c r="P1607" s="4">
        <v>7.8986000000000001</v>
      </c>
      <c r="Q1607" s="4">
        <v>7.8986000000000001</v>
      </c>
      <c r="R1607" s="5">
        <v>5.0000000000000001E-4</v>
      </c>
      <c r="S1607">
        <v>3</v>
      </c>
      <c r="T1607" t="b">
        <v>0</v>
      </c>
      <c r="U1607">
        <v>1</v>
      </c>
      <c r="V1607" s="4">
        <v>133</v>
      </c>
    </row>
    <row r="1608" spans="1:22" x14ac:dyDescent="0.35">
      <c r="A1608" t="s">
        <v>27</v>
      </c>
      <c r="B1608">
        <v>3</v>
      </c>
      <c r="C1608">
        <v>3</v>
      </c>
      <c r="D1608">
        <v>10</v>
      </c>
      <c r="E1608" t="s">
        <v>29</v>
      </c>
      <c r="F1608">
        <v>200</v>
      </c>
      <c r="G1608">
        <v>1</v>
      </c>
      <c r="H1608">
        <v>20</v>
      </c>
      <c r="I1608" t="s">
        <v>26</v>
      </c>
      <c r="J1608" s="3">
        <v>801.02820899999995</v>
      </c>
      <c r="K1608" s="3" t="s">
        <v>24</v>
      </c>
      <c r="L1608" s="3" t="s">
        <v>24</v>
      </c>
      <c r="M1608" s="3" t="s">
        <v>24</v>
      </c>
      <c r="N1608" s="3">
        <v>23577.938999999998</v>
      </c>
      <c r="O1608" s="4"/>
      <c r="P1608" s="4"/>
      <c r="Q1608" s="4"/>
      <c r="R1608" s="5">
        <v>0</v>
      </c>
      <c r="S1608">
        <v>0</v>
      </c>
      <c r="T1608" t="b">
        <v>1</v>
      </c>
      <c r="U1608">
        <v>-1</v>
      </c>
      <c r="V1608" s="4">
        <v>138.44999999999999</v>
      </c>
    </row>
    <row r="1609" spans="1:22" x14ac:dyDescent="0.35">
      <c r="A1609" t="s">
        <v>27</v>
      </c>
      <c r="B1609">
        <v>3</v>
      </c>
      <c r="C1609">
        <v>3</v>
      </c>
      <c r="D1609">
        <v>10</v>
      </c>
      <c r="E1609" t="s">
        <v>29</v>
      </c>
      <c r="F1609">
        <v>200</v>
      </c>
      <c r="G1609">
        <v>3</v>
      </c>
      <c r="H1609">
        <v>20</v>
      </c>
      <c r="I1609" t="s">
        <v>26</v>
      </c>
      <c r="J1609" s="3">
        <v>141.38876300000001</v>
      </c>
      <c r="K1609" s="3">
        <v>23577.938999999998</v>
      </c>
      <c r="L1609" s="3">
        <v>25440.276000000002</v>
      </c>
      <c r="M1609" s="3">
        <v>23577.938999999998</v>
      </c>
      <c r="N1609" s="3">
        <v>23577.938999999998</v>
      </c>
      <c r="O1609" s="4">
        <v>0</v>
      </c>
      <c r="P1609" s="4">
        <v>7.8986000000000001</v>
      </c>
      <c r="Q1609" s="4">
        <v>0</v>
      </c>
      <c r="R1609" s="5">
        <v>5.04E-2</v>
      </c>
      <c r="S1609">
        <v>12</v>
      </c>
      <c r="T1609" t="b">
        <v>0</v>
      </c>
      <c r="U1609">
        <v>5</v>
      </c>
      <c r="V1609" s="4">
        <v>432</v>
      </c>
    </row>
    <row r="1610" spans="1:22" x14ac:dyDescent="0.35">
      <c r="A1610" t="s">
        <v>27</v>
      </c>
      <c r="B1610">
        <v>4</v>
      </c>
      <c r="C1610">
        <v>1</v>
      </c>
      <c r="D1610">
        <v>2</v>
      </c>
      <c r="E1610" t="s">
        <v>29</v>
      </c>
      <c r="F1610">
        <v>50</v>
      </c>
      <c r="G1610">
        <v>1</v>
      </c>
      <c r="H1610">
        <v>20</v>
      </c>
      <c r="I1610" t="s">
        <v>26</v>
      </c>
      <c r="J1610" s="3">
        <v>205.684451</v>
      </c>
      <c r="K1610" s="3" t="s">
        <v>24</v>
      </c>
      <c r="L1610" s="3" t="s">
        <v>24</v>
      </c>
      <c r="M1610" s="3" t="s">
        <v>24</v>
      </c>
      <c r="N1610" s="3">
        <v>29375.853999999999</v>
      </c>
      <c r="O1610" s="4"/>
      <c r="P1610" s="4"/>
      <c r="Q1610" s="4"/>
      <c r="R1610" s="5">
        <v>0</v>
      </c>
      <c r="S1610">
        <v>0</v>
      </c>
      <c r="T1610" t="b">
        <v>1</v>
      </c>
      <c r="U1610">
        <v>-1</v>
      </c>
      <c r="V1610" s="4">
        <v>28.98</v>
      </c>
    </row>
    <row r="1611" spans="1:22" x14ac:dyDescent="0.35">
      <c r="A1611" t="s">
        <v>27</v>
      </c>
      <c r="B1611">
        <v>4</v>
      </c>
      <c r="C1611">
        <v>1</v>
      </c>
      <c r="D1611">
        <v>2</v>
      </c>
      <c r="E1611" t="s">
        <v>29</v>
      </c>
      <c r="F1611">
        <v>50</v>
      </c>
      <c r="G1611">
        <v>3</v>
      </c>
      <c r="H1611">
        <v>20</v>
      </c>
      <c r="I1611" t="s">
        <v>26</v>
      </c>
      <c r="J1611" s="3">
        <v>205.684451</v>
      </c>
      <c r="K1611" s="3" t="s">
        <v>24</v>
      </c>
      <c r="L1611" s="3" t="s">
        <v>24</v>
      </c>
      <c r="M1611" s="3" t="s">
        <v>24</v>
      </c>
      <c r="N1611" s="3">
        <v>29375.853999999999</v>
      </c>
      <c r="O1611" s="4"/>
      <c r="P1611" s="4"/>
      <c r="Q1611" s="4"/>
      <c r="R1611" s="5">
        <v>0</v>
      </c>
      <c r="S1611">
        <v>0</v>
      </c>
      <c r="T1611" t="b">
        <v>1</v>
      </c>
      <c r="U1611">
        <v>-1</v>
      </c>
      <c r="V1611" s="4">
        <v>85.79</v>
      </c>
    </row>
    <row r="1612" spans="1:22" x14ac:dyDescent="0.35">
      <c r="A1612" t="s">
        <v>27</v>
      </c>
      <c r="B1612">
        <v>4</v>
      </c>
      <c r="C1612">
        <v>1</v>
      </c>
      <c r="D1612">
        <v>2</v>
      </c>
      <c r="E1612" t="s">
        <v>29</v>
      </c>
      <c r="F1612">
        <v>200</v>
      </c>
      <c r="G1612">
        <v>1</v>
      </c>
      <c r="H1612">
        <v>20</v>
      </c>
      <c r="I1612" t="s">
        <v>26</v>
      </c>
      <c r="J1612" s="3">
        <v>72.126259000000005</v>
      </c>
      <c r="K1612" s="3">
        <v>29375.853999999999</v>
      </c>
      <c r="L1612" s="3">
        <v>29375.853999999999</v>
      </c>
      <c r="M1612" s="3">
        <v>29375.853999999999</v>
      </c>
      <c r="N1612" s="3">
        <v>29375.853999999999</v>
      </c>
      <c r="O1612" s="4">
        <v>0</v>
      </c>
      <c r="P1612" s="4">
        <v>0</v>
      </c>
      <c r="Q1612" s="4">
        <v>0</v>
      </c>
      <c r="R1612" s="5">
        <v>5.3E-3</v>
      </c>
      <c r="S1612">
        <v>1</v>
      </c>
      <c r="T1612" t="b">
        <v>0</v>
      </c>
      <c r="U1612">
        <v>1</v>
      </c>
      <c r="V1612" s="4">
        <v>83.23</v>
      </c>
    </row>
    <row r="1613" spans="1:22" x14ac:dyDescent="0.35">
      <c r="A1613" t="s">
        <v>27</v>
      </c>
      <c r="B1613">
        <v>4</v>
      </c>
      <c r="C1613">
        <v>1</v>
      </c>
      <c r="D1613">
        <v>2</v>
      </c>
      <c r="E1613" t="s">
        <v>29</v>
      </c>
      <c r="F1613">
        <v>200</v>
      </c>
      <c r="G1613">
        <v>3</v>
      </c>
      <c r="H1613">
        <v>20</v>
      </c>
      <c r="I1613" t="s">
        <v>26</v>
      </c>
      <c r="J1613" s="3">
        <v>72.126259000000005</v>
      </c>
      <c r="K1613" s="3">
        <v>29375.853999999999</v>
      </c>
      <c r="L1613" s="3">
        <v>29375.853999999999</v>
      </c>
      <c r="M1613" s="3">
        <v>29375.853999999999</v>
      </c>
      <c r="N1613" s="3">
        <v>29375.853999999999</v>
      </c>
      <c r="O1613" s="4">
        <v>0</v>
      </c>
      <c r="P1613" s="4">
        <v>0</v>
      </c>
      <c r="Q1613" s="4">
        <v>0</v>
      </c>
      <c r="R1613" s="5">
        <v>5.3E-3</v>
      </c>
      <c r="S1613">
        <v>1</v>
      </c>
      <c r="T1613" t="b">
        <v>0</v>
      </c>
      <c r="U1613">
        <v>1</v>
      </c>
      <c r="V1613" s="4">
        <v>253.19</v>
      </c>
    </row>
    <row r="1614" spans="1:22" x14ac:dyDescent="0.35">
      <c r="A1614" t="s">
        <v>27</v>
      </c>
      <c r="B1614">
        <v>4</v>
      </c>
      <c r="C1614">
        <v>1</v>
      </c>
      <c r="D1614">
        <v>5</v>
      </c>
      <c r="E1614" t="s">
        <v>29</v>
      </c>
      <c r="F1614">
        <v>50</v>
      </c>
      <c r="G1614">
        <v>1</v>
      </c>
      <c r="H1614">
        <v>20</v>
      </c>
      <c r="I1614" t="s">
        <v>26</v>
      </c>
      <c r="J1614" s="3">
        <v>515.30370700000003</v>
      </c>
      <c r="K1614" s="3" t="s">
        <v>24</v>
      </c>
      <c r="L1614" s="3" t="s">
        <v>24</v>
      </c>
      <c r="M1614" s="3" t="s">
        <v>24</v>
      </c>
      <c r="N1614" s="3">
        <v>29375.853999999999</v>
      </c>
      <c r="O1614" s="4"/>
      <c r="P1614" s="4"/>
      <c r="Q1614" s="4"/>
      <c r="R1614" s="5">
        <v>0</v>
      </c>
      <c r="S1614">
        <v>0</v>
      </c>
      <c r="T1614" t="b">
        <v>1</v>
      </c>
      <c r="U1614">
        <v>-1</v>
      </c>
      <c r="V1614" s="4">
        <v>29.16</v>
      </c>
    </row>
    <row r="1615" spans="1:22" x14ac:dyDescent="0.35">
      <c r="A1615" t="s">
        <v>27</v>
      </c>
      <c r="B1615">
        <v>4</v>
      </c>
      <c r="C1615">
        <v>1</v>
      </c>
      <c r="D1615">
        <v>5</v>
      </c>
      <c r="E1615" t="s">
        <v>29</v>
      </c>
      <c r="F1615">
        <v>50</v>
      </c>
      <c r="G1615">
        <v>3</v>
      </c>
      <c r="H1615">
        <v>20</v>
      </c>
      <c r="I1615" t="s">
        <v>26</v>
      </c>
      <c r="J1615" s="3">
        <v>515.30370700000003</v>
      </c>
      <c r="K1615" s="3" t="s">
        <v>24</v>
      </c>
      <c r="L1615" s="3" t="s">
        <v>24</v>
      </c>
      <c r="M1615" s="3" t="s">
        <v>24</v>
      </c>
      <c r="N1615" s="3">
        <v>29375.853999999999</v>
      </c>
      <c r="O1615" s="4"/>
      <c r="P1615" s="4"/>
      <c r="Q1615" s="4"/>
      <c r="R1615" s="5">
        <v>0</v>
      </c>
      <c r="S1615">
        <v>0</v>
      </c>
      <c r="T1615" t="b">
        <v>1</v>
      </c>
      <c r="U1615">
        <v>-1</v>
      </c>
      <c r="V1615" s="4">
        <v>86.25</v>
      </c>
    </row>
    <row r="1616" spans="1:22" x14ac:dyDescent="0.35">
      <c r="A1616" t="s">
        <v>27</v>
      </c>
      <c r="B1616">
        <v>4</v>
      </c>
      <c r="C1616">
        <v>1</v>
      </c>
      <c r="D1616">
        <v>5</v>
      </c>
      <c r="E1616" t="s">
        <v>29</v>
      </c>
      <c r="F1616">
        <v>200</v>
      </c>
      <c r="G1616">
        <v>1</v>
      </c>
      <c r="H1616">
        <v>20</v>
      </c>
      <c r="I1616" t="s">
        <v>26</v>
      </c>
      <c r="J1616" s="3">
        <v>169.73319499999999</v>
      </c>
      <c r="K1616" s="3">
        <v>29375.853999999999</v>
      </c>
      <c r="L1616" s="3">
        <v>29375.853999999999</v>
      </c>
      <c r="M1616" s="3">
        <v>29375.853999999999</v>
      </c>
      <c r="N1616" s="3">
        <v>29375.853999999999</v>
      </c>
      <c r="O1616" s="4">
        <v>0</v>
      </c>
      <c r="P1616" s="4">
        <v>0</v>
      </c>
      <c r="Q1616" s="4">
        <v>0</v>
      </c>
      <c r="R1616" s="5">
        <v>6.0000000000000001E-3</v>
      </c>
      <c r="S1616">
        <v>1</v>
      </c>
      <c r="T1616" t="b">
        <v>0</v>
      </c>
      <c r="U1616">
        <v>1</v>
      </c>
      <c r="V1616" s="4">
        <v>83.6</v>
      </c>
    </row>
    <row r="1617" spans="1:22" x14ac:dyDescent="0.35">
      <c r="A1617" t="s">
        <v>27</v>
      </c>
      <c r="B1617">
        <v>4</v>
      </c>
      <c r="C1617">
        <v>1</v>
      </c>
      <c r="D1617">
        <v>5</v>
      </c>
      <c r="E1617" t="s">
        <v>29</v>
      </c>
      <c r="F1617">
        <v>200</v>
      </c>
      <c r="G1617">
        <v>3</v>
      </c>
      <c r="H1617">
        <v>20</v>
      </c>
      <c r="I1617" t="s">
        <v>26</v>
      </c>
      <c r="J1617" s="3">
        <v>169.73319499999999</v>
      </c>
      <c r="K1617" s="3">
        <v>29375.853999999999</v>
      </c>
      <c r="L1617" s="3">
        <v>29375.853999999999</v>
      </c>
      <c r="M1617" s="3">
        <v>29375.853999999999</v>
      </c>
      <c r="N1617" s="3">
        <v>29375.853999999999</v>
      </c>
      <c r="O1617" s="4">
        <v>0</v>
      </c>
      <c r="P1617" s="4">
        <v>0</v>
      </c>
      <c r="Q1617" s="4">
        <v>0</v>
      </c>
      <c r="R1617" s="5">
        <v>6.0000000000000001E-3</v>
      </c>
      <c r="S1617">
        <v>1</v>
      </c>
      <c r="T1617" t="b">
        <v>0</v>
      </c>
      <c r="U1617">
        <v>1</v>
      </c>
      <c r="V1617" s="4">
        <v>253.11</v>
      </c>
    </row>
    <row r="1618" spans="1:22" x14ac:dyDescent="0.35">
      <c r="A1618" t="s">
        <v>27</v>
      </c>
      <c r="B1618">
        <v>4</v>
      </c>
      <c r="C1618">
        <v>1</v>
      </c>
      <c r="D1618">
        <v>10</v>
      </c>
      <c r="E1618" t="s">
        <v>29</v>
      </c>
      <c r="F1618">
        <v>50</v>
      </c>
      <c r="G1618">
        <v>1</v>
      </c>
      <c r="H1618">
        <v>20</v>
      </c>
      <c r="I1618" t="s">
        <v>26</v>
      </c>
      <c r="J1618" s="3">
        <v>1037.4492560000001</v>
      </c>
      <c r="K1618" s="3" t="s">
        <v>24</v>
      </c>
      <c r="L1618" s="3" t="s">
        <v>24</v>
      </c>
      <c r="M1618" s="3" t="s">
        <v>24</v>
      </c>
      <c r="N1618" s="3">
        <v>29375.853999999999</v>
      </c>
      <c r="O1618" s="4"/>
      <c r="P1618" s="4"/>
      <c r="Q1618" s="4"/>
      <c r="R1618" s="5">
        <v>0</v>
      </c>
      <c r="S1618">
        <v>0</v>
      </c>
      <c r="T1618" t="b">
        <v>1</v>
      </c>
      <c r="U1618">
        <v>-1</v>
      </c>
      <c r="V1618" s="4">
        <v>29.34</v>
      </c>
    </row>
    <row r="1619" spans="1:22" x14ac:dyDescent="0.35">
      <c r="A1619" t="s">
        <v>27</v>
      </c>
      <c r="B1619">
        <v>4</v>
      </c>
      <c r="C1619">
        <v>1</v>
      </c>
      <c r="D1619">
        <v>10</v>
      </c>
      <c r="E1619" t="s">
        <v>29</v>
      </c>
      <c r="F1619">
        <v>50</v>
      </c>
      <c r="G1619">
        <v>3</v>
      </c>
      <c r="H1619">
        <v>20</v>
      </c>
      <c r="I1619" t="s">
        <v>26</v>
      </c>
      <c r="J1619" s="3">
        <v>1032.8565840000001</v>
      </c>
      <c r="K1619" s="3" t="s">
        <v>24</v>
      </c>
      <c r="L1619" s="3" t="s">
        <v>24</v>
      </c>
      <c r="M1619" s="3" t="s">
        <v>24</v>
      </c>
      <c r="N1619" s="3">
        <v>29375.853999999999</v>
      </c>
      <c r="O1619" s="4"/>
      <c r="P1619" s="4"/>
      <c r="Q1619" s="4"/>
      <c r="R1619" s="5">
        <v>0</v>
      </c>
      <c r="S1619">
        <v>0</v>
      </c>
      <c r="T1619" t="b">
        <v>1</v>
      </c>
      <c r="U1619">
        <v>-1</v>
      </c>
      <c r="V1619" s="4">
        <v>85.73</v>
      </c>
    </row>
    <row r="1620" spans="1:22" x14ac:dyDescent="0.35">
      <c r="A1620" t="s">
        <v>27</v>
      </c>
      <c r="B1620">
        <v>4</v>
      </c>
      <c r="C1620">
        <v>1</v>
      </c>
      <c r="D1620">
        <v>10</v>
      </c>
      <c r="E1620" t="s">
        <v>29</v>
      </c>
      <c r="F1620">
        <v>200</v>
      </c>
      <c r="G1620">
        <v>1</v>
      </c>
      <c r="H1620">
        <v>20</v>
      </c>
      <c r="I1620" t="s">
        <v>26</v>
      </c>
      <c r="J1620" s="3">
        <v>1036.9935459999999</v>
      </c>
      <c r="K1620" s="3" t="s">
        <v>24</v>
      </c>
      <c r="L1620" s="3" t="s">
        <v>24</v>
      </c>
      <c r="M1620" s="3" t="s">
        <v>24</v>
      </c>
      <c r="N1620" s="3">
        <v>29375.853999999999</v>
      </c>
      <c r="O1620" s="4"/>
      <c r="P1620" s="4"/>
      <c r="Q1620" s="4"/>
      <c r="R1620" s="5">
        <v>0</v>
      </c>
      <c r="S1620">
        <v>0</v>
      </c>
      <c r="T1620" t="b">
        <v>1</v>
      </c>
      <c r="U1620">
        <v>-1</v>
      </c>
      <c r="V1620" s="4">
        <v>85.77</v>
      </c>
    </row>
    <row r="1621" spans="1:22" x14ac:dyDescent="0.35">
      <c r="A1621" t="s">
        <v>27</v>
      </c>
      <c r="B1621">
        <v>4</v>
      </c>
      <c r="C1621">
        <v>1</v>
      </c>
      <c r="D1621">
        <v>10</v>
      </c>
      <c r="E1621" t="s">
        <v>29</v>
      </c>
      <c r="F1621">
        <v>200</v>
      </c>
      <c r="G1621">
        <v>3</v>
      </c>
      <c r="H1621">
        <v>20</v>
      </c>
      <c r="I1621" t="s">
        <v>26</v>
      </c>
      <c r="J1621" s="3">
        <v>1031.762868</v>
      </c>
      <c r="K1621" s="3" t="s">
        <v>24</v>
      </c>
      <c r="L1621" s="3" t="s">
        <v>24</v>
      </c>
      <c r="M1621" s="3" t="s">
        <v>24</v>
      </c>
      <c r="N1621" s="3">
        <v>29375.853999999999</v>
      </c>
      <c r="O1621" s="4"/>
      <c r="P1621" s="4"/>
      <c r="Q1621" s="4"/>
      <c r="R1621" s="5">
        <v>0</v>
      </c>
      <c r="S1621">
        <v>0</v>
      </c>
      <c r="T1621" t="b">
        <v>1</v>
      </c>
      <c r="U1621">
        <v>-1</v>
      </c>
      <c r="V1621" s="4">
        <v>255.36</v>
      </c>
    </row>
    <row r="1622" spans="1:22" x14ac:dyDescent="0.35">
      <c r="A1622" t="s">
        <v>27</v>
      </c>
      <c r="B1622">
        <v>4</v>
      </c>
      <c r="C1622">
        <v>3</v>
      </c>
      <c r="D1622">
        <v>2</v>
      </c>
      <c r="E1622" t="s">
        <v>29</v>
      </c>
      <c r="F1622">
        <v>50</v>
      </c>
      <c r="G1622">
        <v>1</v>
      </c>
      <c r="H1622">
        <v>20</v>
      </c>
      <c r="I1622" t="s">
        <v>26</v>
      </c>
      <c r="J1622" s="3">
        <v>211.681524</v>
      </c>
      <c r="K1622" s="3" t="s">
        <v>24</v>
      </c>
      <c r="L1622" s="3" t="s">
        <v>24</v>
      </c>
      <c r="M1622" s="3" t="s">
        <v>24</v>
      </c>
      <c r="N1622" s="3">
        <v>29375.853999999999</v>
      </c>
      <c r="O1622" s="4"/>
      <c r="P1622" s="4"/>
      <c r="Q1622" s="4"/>
      <c r="R1622" s="5">
        <v>0</v>
      </c>
      <c r="S1622">
        <v>0</v>
      </c>
      <c r="T1622" t="b">
        <v>1</v>
      </c>
      <c r="U1622">
        <v>-1</v>
      </c>
      <c r="V1622" s="4">
        <v>45.18</v>
      </c>
    </row>
    <row r="1623" spans="1:22" x14ac:dyDescent="0.35">
      <c r="A1623" t="s">
        <v>27</v>
      </c>
      <c r="B1623">
        <v>4</v>
      </c>
      <c r="C1623">
        <v>3</v>
      </c>
      <c r="D1623">
        <v>2</v>
      </c>
      <c r="E1623" t="s">
        <v>29</v>
      </c>
      <c r="F1623">
        <v>50</v>
      </c>
      <c r="G1623">
        <v>3</v>
      </c>
      <c r="H1623">
        <v>20</v>
      </c>
      <c r="I1623" t="s">
        <v>26</v>
      </c>
      <c r="J1623" s="3">
        <v>211.681524</v>
      </c>
      <c r="K1623" s="3" t="s">
        <v>24</v>
      </c>
      <c r="L1623" s="3" t="s">
        <v>24</v>
      </c>
      <c r="M1623" s="3" t="s">
        <v>24</v>
      </c>
      <c r="N1623" s="3">
        <v>29375.853999999999</v>
      </c>
      <c r="O1623" s="4"/>
      <c r="P1623" s="4"/>
      <c r="Q1623" s="4"/>
      <c r="R1623" s="5">
        <v>0</v>
      </c>
      <c r="S1623">
        <v>0</v>
      </c>
      <c r="T1623" t="b">
        <v>1</v>
      </c>
      <c r="U1623">
        <v>-1</v>
      </c>
      <c r="V1623" s="4">
        <v>133.58000000000001</v>
      </c>
    </row>
    <row r="1624" spans="1:22" x14ac:dyDescent="0.35">
      <c r="A1624" t="s">
        <v>27</v>
      </c>
      <c r="B1624">
        <v>4</v>
      </c>
      <c r="C1624">
        <v>3</v>
      </c>
      <c r="D1624">
        <v>2</v>
      </c>
      <c r="E1624" t="s">
        <v>29</v>
      </c>
      <c r="F1624">
        <v>200</v>
      </c>
      <c r="G1624">
        <v>1</v>
      </c>
      <c r="H1624">
        <v>20</v>
      </c>
      <c r="I1624" t="s">
        <v>26</v>
      </c>
      <c r="J1624" s="3">
        <v>208.57773599999999</v>
      </c>
      <c r="K1624" s="3">
        <v>29375.853999999999</v>
      </c>
      <c r="L1624" s="3">
        <v>29375.853999999999</v>
      </c>
      <c r="M1624" s="3">
        <v>29375.853999999999</v>
      </c>
      <c r="N1624" s="3">
        <v>29375.853999999999</v>
      </c>
      <c r="O1624" s="4">
        <v>0</v>
      </c>
      <c r="P1624" s="4">
        <v>0</v>
      </c>
      <c r="Q1624" s="4">
        <v>0</v>
      </c>
      <c r="R1624" s="5">
        <v>1E-4</v>
      </c>
      <c r="S1624">
        <v>1</v>
      </c>
      <c r="T1624" t="b">
        <v>0</v>
      </c>
      <c r="U1624">
        <v>1</v>
      </c>
      <c r="V1624" s="4">
        <v>133</v>
      </c>
    </row>
    <row r="1625" spans="1:22" x14ac:dyDescent="0.35">
      <c r="A1625" t="s">
        <v>27</v>
      </c>
      <c r="B1625">
        <v>4</v>
      </c>
      <c r="C1625">
        <v>3</v>
      </c>
      <c r="D1625">
        <v>2</v>
      </c>
      <c r="E1625" t="s">
        <v>29</v>
      </c>
      <c r="F1625">
        <v>200</v>
      </c>
      <c r="G1625">
        <v>3</v>
      </c>
      <c r="H1625">
        <v>20</v>
      </c>
      <c r="I1625" t="s">
        <v>26</v>
      </c>
      <c r="J1625" s="3">
        <v>208.57773599999999</v>
      </c>
      <c r="K1625" s="3">
        <v>29375.853999999999</v>
      </c>
      <c r="L1625" s="3">
        <v>29375.853999999999</v>
      </c>
      <c r="M1625" s="3">
        <v>29375.853999999999</v>
      </c>
      <c r="N1625" s="3">
        <v>29375.853999999999</v>
      </c>
      <c r="O1625" s="4">
        <v>0</v>
      </c>
      <c r="P1625" s="4">
        <v>0</v>
      </c>
      <c r="Q1625" s="4">
        <v>0</v>
      </c>
      <c r="R1625" s="5">
        <v>1E-4</v>
      </c>
      <c r="S1625">
        <v>1</v>
      </c>
      <c r="T1625" t="b">
        <v>0</v>
      </c>
      <c r="U1625">
        <v>1</v>
      </c>
      <c r="V1625" s="4">
        <v>396.22</v>
      </c>
    </row>
    <row r="1626" spans="1:22" x14ac:dyDescent="0.35">
      <c r="A1626" t="s">
        <v>27</v>
      </c>
      <c r="B1626">
        <v>4</v>
      </c>
      <c r="C1626">
        <v>3</v>
      </c>
      <c r="D1626">
        <v>5</v>
      </c>
      <c r="E1626" t="s">
        <v>29</v>
      </c>
      <c r="F1626">
        <v>50</v>
      </c>
      <c r="G1626">
        <v>1</v>
      </c>
      <c r="H1626">
        <v>20</v>
      </c>
      <c r="I1626" t="s">
        <v>26</v>
      </c>
      <c r="J1626" s="3">
        <v>628.25833799999998</v>
      </c>
      <c r="K1626" s="3">
        <v>29375.853999999999</v>
      </c>
      <c r="L1626" s="3">
        <v>29375.853999999999</v>
      </c>
      <c r="M1626" s="3">
        <v>29375.853999999999</v>
      </c>
      <c r="N1626" s="3">
        <v>29375.853999999999</v>
      </c>
      <c r="O1626" s="4">
        <v>0</v>
      </c>
      <c r="P1626" s="4">
        <v>0</v>
      </c>
      <c r="Q1626" s="4">
        <v>0</v>
      </c>
      <c r="R1626" s="5">
        <v>1E-4</v>
      </c>
      <c r="S1626">
        <v>1</v>
      </c>
      <c r="T1626" t="b">
        <v>0</v>
      </c>
      <c r="U1626">
        <v>1</v>
      </c>
      <c r="V1626" s="4">
        <v>45.13</v>
      </c>
    </row>
    <row r="1627" spans="1:22" x14ac:dyDescent="0.35">
      <c r="A1627" t="s">
        <v>27</v>
      </c>
      <c r="B1627">
        <v>4</v>
      </c>
      <c r="C1627">
        <v>3</v>
      </c>
      <c r="D1627">
        <v>5</v>
      </c>
      <c r="E1627" t="s">
        <v>29</v>
      </c>
      <c r="F1627">
        <v>50</v>
      </c>
      <c r="G1627">
        <v>3</v>
      </c>
      <c r="H1627">
        <v>20</v>
      </c>
      <c r="I1627" t="s">
        <v>26</v>
      </c>
      <c r="J1627" s="3">
        <v>521.10971400000005</v>
      </c>
      <c r="K1627" s="3">
        <v>29375.853999999999</v>
      </c>
      <c r="L1627" s="3">
        <v>29375.853999999999</v>
      </c>
      <c r="M1627" s="3">
        <v>29375.853999999999</v>
      </c>
      <c r="N1627" s="3">
        <v>29375.853999999999</v>
      </c>
      <c r="O1627" s="4">
        <v>0</v>
      </c>
      <c r="P1627" s="4">
        <v>0</v>
      </c>
      <c r="Q1627" s="4">
        <v>0</v>
      </c>
      <c r="R1627" s="5">
        <v>4.0000000000000002E-4</v>
      </c>
      <c r="S1627">
        <v>1</v>
      </c>
      <c r="T1627" t="b">
        <v>0</v>
      </c>
      <c r="U1627">
        <v>1</v>
      </c>
      <c r="V1627" s="4">
        <v>133.34</v>
      </c>
    </row>
    <row r="1628" spans="1:22" x14ac:dyDescent="0.35">
      <c r="A1628" t="s">
        <v>27</v>
      </c>
      <c r="B1628">
        <v>4</v>
      </c>
      <c r="C1628">
        <v>3</v>
      </c>
      <c r="D1628">
        <v>5</v>
      </c>
      <c r="E1628" t="s">
        <v>29</v>
      </c>
      <c r="F1628">
        <v>200</v>
      </c>
      <c r="G1628">
        <v>1</v>
      </c>
      <c r="H1628">
        <v>20</v>
      </c>
      <c r="I1628" t="s">
        <v>26</v>
      </c>
      <c r="J1628" s="3">
        <v>525.45958099999996</v>
      </c>
      <c r="K1628" s="3" t="s">
        <v>24</v>
      </c>
      <c r="L1628" s="3" t="s">
        <v>24</v>
      </c>
      <c r="M1628" s="3" t="s">
        <v>24</v>
      </c>
      <c r="N1628" s="3">
        <v>29375.853999999999</v>
      </c>
      <c r="O1628" s="4"/>
      <c r="P1628" s="4"/>
      <c r="Q1628" s="4"/>
      <c r="R1628" s="5">
        <v>0</v>
      </c>
      <c r="S1628">
        <v>0</v>
      </c>
      <c r="T1628" t="b">
        <v>1</v>
      </c>
      <c r="U1628">
        <v>-1</v>
      </c>
      <c r="V1628" s="4">
        <v>133.57</v>
      </c>
    </row>
    <row r="1629" spans="1:22" x14ac:dyDescent="0.35">
      <c r="A1629" t="s">
        <v>27</v>
      </c>
      <c r="B1629">
        <v>4</v>
      </c>
      <c r="C1629">
        <v>3</v>
      </c>
      <c r="D1629">
        <v>5</v>
      </c>
      <c r="E1629" t="s">
        <v>29</v>
      </c>
      <c r="F1629">
        <v>200</v>
      </c>
      <c r="G1629">
        <v>3</v>
      </c>
      <c r="H1629">
        <v>20</v>
      </c>
      <c r="I1629" t="s">
        <v>26</v>
      </c>
      <c r="J1629" s="3">
        <v>464.82414199999999</v>
      </c>
      <c r="K1629" s="3">
        <v>29375.853999999999</v>
      </c>
      <c r="L1629" s="3">
        <v>29375.853999999999</v>
      </c>
      <c r="M1629" s="3">
        <v>29375.853999999999</v>
      </c>
      <c r="N1629" s="3">
        <v>29375.853999999999</v>
      </c>
      <c r="O1629" s="4">
        <v>0</v>
      </c>
      <c r="P1629" s="4">
        <v>0</v>
      </c>
      <c r="Q1629" s="4">
        <v>0</v>
      </c>
      <c r="R1629" s="5">
        <v>7.3000000000000001E-3</v>
      </c>
      <c r="S1629">
        <v>1</v>
      </c>
      <c r="T1629" t="b">
        <v>0</v>
      </c>
      <c r="U1629">
        <v>1</v>
      </c>
      <c r="V1629" s="4">
        <v>394.37</v>
      </c>
    </row>
    <row r="1630" spans="1:22" x14ac:dyDescent="0.35">
      <c r="A1630" t="s">
        <v>27</v>
      </c>
      <c r="B1630">
        <v>4</v>
      </c>
      <c r="C1630">
        <v>3</v>
      </c>
      <c r="D1630">
        <v>10</v>
      </c>
      <c r="E1630" t="s">
        <v>29</v>
      </c>
      <c r="F1630">
        <v>50</v>
      </c>
      <c r="G1630">
        <v>1</v>
      </c>
      <c r="H1630">
        <v>20</v>
      </c>
      <c r="I1630" t="s">
        <v>26</v>
      </c>
      <c r="J1630" s="3">
        <v>1037.131893</v>
      </c>
      <c r="K1630" s="3">
        <v>29375.853999999999</v>
      </c>
      <c r="L1630" s="3">
        <v>29375.853999999999</v>
      </c>
      <c r="M1630" s="3">
        <v>29375.853999999999</v>
      </c>
      <c r="N1630" s="3">
        <v>29375.853999999999</v>
      </c>
      <c r="O1630" s="4">
        <v>0</v>
      </c>
      <c r="P1630" s="4">
        <v>0</v>
      </c>
      <c r="Q1630" s="4">
        <v>0</v>
      </c>
      <c r="R1630" s="5">
        <v>2.0000000000000001E-4</v>
      </c>
      <c r="S1630">
        <v>1</v>
      </c>
      <c r="T1630" t="b">
        <v>0</v>
      </c>
      <c r="U1630">
        <v>1</v>
      </c>
      <c r="V1630" s="4">
        <v>45.14</v>
      </c>
    </row>
    <row r="1631" spans="1:22" x14ac:dyDescent="0.35">
      <c r="A1631" t="s">
        <v>27</v>
      </c>
      <c r="B1631">
        <v>4</v>
      </c>
      <c r="C1631">
        <v>3</v>
      </c>
      <c r="D1631">
        <v>10</v>
      </c>
      <c r="E1631" t="s">
        <v>29</v>
      </c>
      <c r="F1631">
        <v>50</v>
      </c>
      <c r="G1631">
        <v>3</v>
      </c>
      <c r="H1631">
        <v>20</v>
      </c>
      <c r="I1631" t="s">
        <v>26</v>
      </c>
      <c r="J1631" s="3">
        <v>1012.467572</v>
      </c>
      <c r="K1631" s="3" t="s">
        <v>24</v>
      </c>
      <c r="L1631" s="3" t="s">
        <v>24</v>
      </c>
      <c r="M1631" s="3" t="s">
        <v>24</v>
      </c>
      <c r="N1631" s="3">
        <v>29375.853999999999</v>
      </c>
      <c r="O1631" s="4"/>
      <c r="P1631" s="4"/>
      <c r="Q1631" s="4"/>
      <c r="R1631" s="5">
        <v>0</v>
      </c>
      <c r="S1631">
        <v>0</v>
      </c>
      <c r="T1631" t="b">
        <v>1</v>
      </c>
      <c r="U1631">
        <v>-1</v>
      </c>
      <c r="V1631" s="4">
        <v>132.93</v>
      </c>
    </row>
    <row r="1632" spans="1:22" x14ac:dyDescent="0.35">
      <c r="A1632" t="s">
        <v>27</v>
      </c>
      <c r="B1632">
        <v>4</v>
      </c>
      <c r="C1632">
        <v>3</v>
      </c>
      <c r="D1632">
        <v>10</v>
      </c>
      <c r="E1632" t="s">
        <v>29</v>
      </c>
      <c r="F1632">
        <v>200</v>
      </c>
      <c r="G1632">
        <v>1</v>
      </c>
      <c r="H1632">
        <v>20</v>
      </c>
      <c r="I1632" t="s">
        <v>26</v>
      </c>
      <c r="J1632" s="3">
        <v>1039.910083</v>
      </c>
      <c r="K1632" s="3" t="s">
        <v>24</v>
      </c>
      <c r="L1632" s="3" t="s">
        <v>24</v>
      </c>
      <c r="M1632" s="3" t="s">
        <v>24</v>
      </c>
      <c r="N1632" s="3">
        <v>29375.853999999999</v>
      </c>
      <c r="O1632" s="4"/>
      <c r="P1632" s="4"/>
      <c r="Q1632" s="4"/>
      <c r="R1632" s="5">
        <v>0</v>
      </c>
      <c r="S1632">
        <v>0</v>
      </c>
      <c r="T1632" t="b">
        <v>1</v>
      </c>
      <c r="U1632">
        <v>-1</v>
      </c>
      <c r="V1632" s="4">
        <v>132.5</v>
      </c>
    </row>
    <row r="1633" spans="1:22" x14ac:dyDescent="0.35">
      <c r="A1633" t="s">
        <v>27</v>
      </c>
      <c r="B1633">
        <v>4</v>
      </c>
      <c r="C1633">
        <v>3</v>
      </c>
      <c r="D1633">
        <v>10</v>
      </c>
      <c r="E1633" t="s">
        <v>29</v>
      </c>
      <c r="F1633">
        <v>200</v>
      </c>
      <c r="G1633">
        <v>3</v>
      </c>
      <c r="H1633">
        <v>20</v>
      </c>
      <c r="I1633" t="s">
        <v>26</v>
      </c>
      <c r="J1633" s="3">
        <v>1014.08876</v>
      </c>
      <c r="K1633" s="3" t="s">
        <v>24</v>
      </c>
      <c r="L1633" s="3" t="s">
        <v>24</v>
      </c>
      <c r="M1633" s="3" t="s">
        <v>24</v>
      </c>
      <c r="N1633" s="3">
        <v>29375.853999999999</v>
      </c>
      <c r="O1633" s="4"/>
      <c r="P1633" s="4"/>
      <c r="Q1633" s="4"/>
      <c r="R1633" s="5">
        <v>0</v>
      </c>
      <c r="S1633">
        <v>0</v>
      </c>
      <c r="T1633" t="b">
        <v>1</v>
      </c>
      <c r="U1633">
        <v>-1</v>
      </c>
      <c r="V1633" s="4">
        <v>395.66</v>
      </c>
    </row>
    <row r="1634" spans="1:22" x14ac:dyDescent="0.35">
      <c r="A1634" t="s">
        <v>28</v>
      </c>
      <c r="B1634">
        <v>1</v>
      </c>
      <c r="C1634">
        <v>1</v>
      </c>
      <c r="D1634">
        <v>2</v>
      </c>
      <c r="E1634" t="s">
        <v>29</v>
      </c>
      <c r="F1634">
        <v>50</v>
      </c>
      <c r="G1634">
        <v>1</v>
      </c>
      <c r="H1634">
        <v>16</v>
      </c>
      <c r="I1634" t="s">
        <v>23</v>
      </c>
      <c r="J1634" s="3">
        <v>136.46986899999999</v>
      </c>
      <c r="K1634" s="3">
        <v>11886.797</v>
      </c>
      <c r="L1634" s="3">
        <v>12356.218999999999</v>
      </c>
      <c r="M1634" s="3">
        <v>11886.797</v>
      </c>
      <c r="N1634" s="3">
        <v>10216.15</v>
      </c>
      <c r="O1634" s="4">
        <v>16.353000000000002</v>
      </c>
      <c r="P1634" s="4">
        <v>20.947900000000001</v>
      </c>
      <c r="Q1634" s="4">
        <v>16.353000000000002</v>
      </c>
      <c r="R1634" s="5">
        <v>8.0000000000000004E-4</v>
      </c>
      <c r="S1634">
        <v>6</v>
      </c>
      <c r="T1634" t="b">
        <v>0</v>
      </c>
      <c r="U1634">
        <v>2</v>
      </c>
      <c r="V1634" s="4">
        <v>26.06</v>
      </c>
    </row>
    <row r="1635" spans="1:22" x14ac:dyDescent="0.35">
      <c r="A1635" t="s">
        <v>28</v>
      </c>
      <c r="B1635">
        <v>1</v>
      </c>
      <c r="C1635">
        <v>1</v>
      </c>
      <c r="D1635">
        <v>2</v>
      </c>
      <c r="E1635" t="s">
        <v>29</v>
      </c>
      <c r="F1635">
        <v>50</v>
      </c>
      <c r="G1635">
        <v>3</v>
      </c>
      <c r="H1635">
        <v>16</v>
      </c>
      <c r="I1635" t="s">
        <v>23</v>
      </c>
      <c r="J1635" s="3">
        <v>135.06612000000001</v>
      </c>
      <c r="K1635" s="3">
        <v>10216.15</v>
      </c>
      <c r="L1635" s="3">
        <v>13295.13</v>
      </c>
      <c r="M1635" s="3">
        <v>10216.15</v>
      </c>
      <c r="N1635" s="3">
        <v>10216.15</v>
      </c>
      <c r="O1635" s="4">
        <v>0</v>
      </c>
      <c r="P1635" s="4">
        <v>30.138400000000001</v>
      </c>
      <c r="Q1635" s="4">
        <v>0</v>
      </c>
      <c r="R1635" s="5">
        <v>5.9999999999999995E-4</v>
      </c>
      <c r="S1635">
        <v>6</v>
      </c>
      <c r="T1635" t="b">
        <v>0</v>
      </c>
      <c r="U1635">
        <v>3</v>
      </c>
      <c r="V1635" s="4">
        <v>75.89</v>
      </c>
    </row>
    <row r="1636" spans="1:22" x14ac:dyDescent="0.35">
      <c r="A1636" t="s">
        <v>28</v>
      </c>
      <c r="B1636">
        <v>1</v>
      </c>
      <c r="C1636">
        <v>1</v>
      </c>
      <c r="D1636">
        <v>2</v>
      </c>
      <c r="E1636" t="s">
        <v>29</v>
      </c>
      <c r="F1636">
        <v>200</v>
      </c>
      <c r="G1636">
        <v>1</v>
      </c>
      <c r="H1636">
        <v>16</v>
      </c>
      <c r="I1636" t="s">
        <v>23</v>
      </c>
      <c r="J1636" s="3">
        <v>136.26183399999999</v>
      </c>
      <c r="K1636" s="3">
        <v>11886.797</v>
      </c>
      <c r="L1636" s="3">
        <v>13295.13</v>
      </c>
      <c r="M1636" s="3">
        <v>11886.797</v>
      </c>
      <c r="N1636" s="3">
        <v>10216.15</v>
      </c>
      <c r="O1636" s="4">
        <v>16.353000000000002</v>
      </c>
      <c r="P1636" s="4">
        <v>30.138400000000001</v>
      </c>
      <c r="Q1636" s="4">
        <v>16.353000000000002</v>
      </c>
      <c r="R1636" s="5">
        <v>5.9999999999999995E-4</v>
      </c>
      <c r="S1636">
        <v>6</v>
      </c>
      <c r="T1636" t="b">
        <v>0</v>
      </c>
      <c r="U1636">
        <v>4</v>
      </c>
      <c r="V1636" s="4">
        <v>75.63</v>
      </c>
    </row>
    <row r="1637" spans="1:22" x14ac:dyDescent="0.35">
      <c r="A1637" t="s">
        <v>28</v>
      </c>
      <c r="B1637">
        <v>1</v>
      </c>
      <c r="C1637">
        <v>1</v>
      </c>
      <c r="D1637">
        <v>2</v>
      </c>
      <c r="E1637" t="s">
        <v>29</v>
      </c>
      <c r="F1637">
        <v>200</v>
      </c>
      <c r="G1637">
        <v>3</v>
      </c>
      <c r="H1637">
        <v>16</v>
      </c>
      <c r="I1637" t="s">
        <v>23</v>
      </c>
      <c r="J1637" s="3">
        <v>135.140154</v>
      </c>
      <c r="K1637" s="3">
        <v>12173.496999999999</v>
      </c>
      <c r="L1637" s="3">
        <v>12173.496999999999</v>
      </c>
      <c r="M1637" s="3">
        <v>12173.496999999999</v>
      </c>
      <c r="N1637" s="3">
        <v>10216.15</v>
      </c>
      <c r="O1637" s="4">
        <v>19.159300000000002</v>
      </c>
      <c r="P1637" s="4">
        <v>19.159300000000002</v>
      </c>
      <c r="Q1637" s="4">
        <v>19.159300000000002</v>
      </c>
      <c r="R1637" s="5">
        <v>5.0000000000000001E-4</v>
      </c>
      <c r="S1637">
        <v>5</v>
      </c>
      <c r="T1637" t="b">
        <v>0</v>
      </c>
      <c r="U1637">
        <v>1</v>
      </c>
      <c r="V1637" s="4">
        <v>226.15</v>
      </c>
    </row>
    <row r="1638" spans="1:22" x14ac:dyDescent="0.35">
      <c r="A1638" t="s">
        <v>28</v>
      </c>
      <c r="B1638">
        <v>1</v>
      </c>
      <c r="C1638">
        <v>1</v>
      </c>
      <c r="D1638">
        <v>5</v>
      </c>
      <c r="E1638" t="s">
        <v>29</v>
      </c>
      <c r="F1638">
        <v>50</v>
      </c>
      <c r="G1638">
        <v>1</v>
      </c>
      <c r="H1638">
        <v>16</v>
      </c>
      <c r="I1638" t="s">
        <v>23</v>
      </c>
      <c r="J1638" s="3">
        <v>326.68169899999998</v>
      </c>
      <c r="K1638" s="3">
        <v>10216.15</v>
      </c>
      <c r="L1638" s="3">
        <v>12356.218999999999</v>
      </c>
      <c r="M1638" s="3">
        <v>10216.15</v>
      </c>
      <c r="N1638" s="3">
        <v>10216.15</v>
      </c>
      <c r="O1638" s="4">
        <v>0</v>
      </c>
      <c r="P1638" s="4">
        <v>20.947900000000001</v>
      </c>
      <c r="Q1638" s="4">
        <v>0</v>
      </c>
      <c r="R1638" s="5">
        <v>8.9999999999999998E-4</v>
      </c>
      <c r="S1638">
        <v>8</v>
      </c>
      <c r="T1638" t="b">
        <v>0</v>
      </c>
      <c r="U1638">
        <v>5</v>
      </c>
      <c r="V1638" s="4">
        <v>27.94</v>
      </c>
    </row>
    <row r="1639" spans="1:22" x14ac:dyDescent="0.35">
      <c r="A1639" t="s">
        <v>28</v>
      </c>
      <c r="B1639">
        <v>1</v>
      </c>
      <c r="C1639">
        <v>1</v>
      </c>
      <c r="D1639">
        <v>5</v>
      </c>
      <c r="E1639" t="s">
        <v>29</v>
      </c>
      <c r="F1639">
        <v>50</v>
      </c>
      <c r="G1639">
        <v>3</v>
      </c>
      <c r="H1639">
        <v>16</v>
      </c>
      <c r="I1639" t="s">
        <v>23</v>
      </c>
      <c r="J1639" s="3">
        <v>321.88161500000001</v>
      </c>
      <c r="K1639" s="3">
        <v>11816.173000000001</v>
      </c>
      <c r="L1639" s="3">
        <v>11886.797</v>
      </c>
      <c r="M1639" s="3">
        <v>10216.15</v>
      </c>
      <c r="N1639" s="3">
        <v>10216.15</v>
      </c>
      <c r="O1639" s="4">
        <v>15.6617</v>
      </c>
      <c r="P1639" s="4">
        <v>16.353000000000002</v>
      </c>
      <c r="Q1639" s="4">
        <v>0</v>
      </c>
      <c r="R1639" s="5">
        <v>6.8999999999999999E-3</v>
      </c>
      <c r="S1639">
        <v>22</v>
      </c>
      <c r="T1639" t="b">
        <v>0</v>
      </c>
      <c r="U1639">
        <v>14</v>
      </c>
      <c r="V1639" s="4">
        <v>75.8</v>
      </c>
    </row>
    <row r="1640" spans="1:22" x14ac:dyDescent="0.35">
      <c r="A1640" t="s">
        <v>28</v>
      </c>
      <c r="B1640">
        <v>1</v>
      </c>
      <c r="C1640">
        <v>1</v>
      </c>
      <c r="D1640">
        <v>5</v>
      </c>
      <c r="E1640" t="s">
        <v>29</v>
      </c>
      <c r="F1640">
        <v>200</v>
      </c>
      <c r="G1640">
        <v>1</v>
      </c>
      <c r="H1640">
        <v>16</v>
      </c>
      <c r="I1640" t="s">
        <v>23</v>
      </c>
      <c r="J1640" s="3">
        <v>322.41969699999999</v>
      </c>
      <c r="K1640" s="3">
        <v>11816.173000000001</v>
      </c>
      <c r="L1640" s="3">
        <v>12905.233</v>
      </c>
      <c r="M1640" s="3">
        <v>11816.173000000001</v>
      </c>
      <c r="N1640" s="3">
        <v>10216.15</v>
      </c>
      <c r="O1640" s="4">
        <v>15.6617</v>
      </c>
      <c r="P1640" s="4">
        <v>26.321899999999999</v>
      </c>
      <c r="Q1640" s="4">
        <v>15.6617</v>
      </c>
      <c r="R1640" s="5">
        <v>1.6000000000000001E-3</v>
      </c>
      <c r="S1640">
        <v>13</v>
      </c>
      <c r="T1640" t="b">
        <v>0</v>
      </c>
      <c r="U1640">
        <v>9</v>
      </c>
      <c r="V1640" s="4">
        <v>75.91</v>
      </c>
    </row>
    <row r="1641" spans="1:22" x14ac:dyDescent="0.35">
      <c r="A1641" t="s">
        <v>28</v>
      </c>
      <c r="B1641">
        <v>1</v>
      </c>
      <c r="C1641">
        <v>1</v>
      </c>
      <c r="D1641">
        <v>5</v>
      </c>
      <c r="E1641" t="s">
        <v>29</v>
      </c>
      <c r="F1641">
        <v>200</v>
      </c>
      <c r="G1641">
        <v>3</v>
      </c>
      <c r="H1641">
        <v>16</v>
      </c>
      <c r="I1641" t="s">
        <v>23</v>
      </c>
      <c r="J1641" s="3">
        <v>314.67951599999998</v>
      </c>
      <c r="K1641" s="3">
        <v>14895.153</v>
      </c>
      <c r="L1641" s="3">
        <v>14895.153</v>
      </c>
      <c r="M1641" s="3">
        <v>14895.153</v>
      </c>
      <c r="N1641" s="3">
        <v>10216.15</v>
      </c>
      <c r="O1641" s="4">
        <v>45.8001</v>
      </c>
      <c r="P1641" s="4">
        <v>45.8001</v>
      </c>
      <c r="Q1641" s="4">
        <v>45.8001</v>
      </c>
      <c r="R1641" s="5">
        <v>1E-4</v>
      </c>
      <c r="S1641">
        <v>1</v>
      </c>
      <c r="T1641" t="b">
        <v>0</v>
      </c>
      <c r="U1641">
        <v>1</v>
      </c>
      <c r="V1641" s="4">
        <v>226.28</v>
      </c>
    </row>
    <row r="1642" spans="1:22" x14ac:dyDescent="0.35">
      <c r="A1642" t="s">
        <v>28</v>
      </c>
      <c r="B1642">
        <v>1</v>
      </c>
      <c r="C1642">
        <v>1</v>
      </c>
      <c r="D1642">
        <v>10</v>
      </c>
      <c r="E1642" t="s">
        <v>29</v>
      </c>
      <c r="F1642">
        <v>50</v>
      </c>
      <c r="G1642">
        <v>1</v>
      </c>
      <c r="H1642">
        <v>16</v>
      </c>
      <c r="I1642" t="s">
        <v>23</v>
      </c>
      <c r="J1642" s="3">
        <v>639.03395899999998</v>
      </c>
      <c r="K1642" s="3">
        <v>11816.173000000001</v>
      </c>
      <c r="L1642" s="3">
        <v>12356.218999999999</v>
      </c>
      <c r="M1642" s="3">
        <v>11816.173000000001</v>
      </c>
      <c r="N1642" s="3">
        <v>10216.15</v>
      </c>
      <c r="O1642" s="4">
        <v>15.6617</v>
      </c>
      <c r="P1642" s="4">
        <v>20.947900000000001</v>
      </c>
      <c r="Q1642" s="4">
        <v>15.6617</v>
      </c>
      <c r="R1642" s="5">
        <v>8.9999999999999998E-4</v>
      </c>
      <c r="S1642">
        <v>6</v>
      </c>
      <c r="T1642" t="b">
        <v>0</v>
      </c>
      <c r="U1642">
        <v>2</v>
      </c>
      <c r="V1642" s="4">
        <v>25.57</v>
      </c>
    </row>
    <row r="1643" spans="1:22" x14ac:dyDescent="0.35">
      <c r="A1643" t="s">
        <v>28</v>
      </c>
      <c r="B1643">
        <v>1</v>
      </c>
      <c r="C1643">
        <v>1</v>
      </c>
      <c r="D1643">
        <v>10</v>
      </c>
      <c r="E1643" t="s">
        <v>29</v>
      </c>
      <c r="F1643">
        <v>50</v>
      </c>
      <c r="G1643">
        <v>3</v>
      </c>
      <c r="H1643">
        <v>16</v>
      </c>
      <c r="I1643" t="s">
        <v>23</v>
      </c>
      <c r="J1643" s="3">
        <v>611.65474800000004</v>
      </c>
      <c r="K1643" s="3">
        <v>10216.15</v>
      </c>
      <c r="L1643" s="3">
        <v>11886.797</v>
      </c>
      <c r="M1643" s="3">
        <v>10216.15</v>
      </c>
      <c r="N1643" s="3">
        <v>10216.15</v>
      </c>
      <c r="O1643" s="4">
        <v>0</v>
      </c>
      <c r="P1643" s="4">
        <v>16.353000000000002</v>
      </c>
      <c r="Q1643" s="4">
        <v>0</v>
      </c>
      <c r="R1643" s="5">
        <v>1.0200000000000001E-2</v>
      </c>
      <c r="S1643">
        <v>24</v>
      </c>
      <c r="T1643" t="b">
        <v>0</v>
      </c>
      <c r="U1643">
        <v>5</v>
      </c>
      <c r="V1643" s="4">
        <v>75.16</v>
      </c>
    </row>
    <row r="1644" spans="1:22" x14ac:dyDescent="0.35">
      <c r="A1644" t="s">
        <v>28</v>
      </c>
      <c r="B1644">
        <v>1</v>
      </c>
      <c r="C1644">
        <v>1</v>
      </c>
      <c r="D1644">
        <v>10</v>
      </c>
      <c r="E1644" t="s">
        <v>29</v>
      </c>
      <c r="F1644">
        <v>200</v>
      </c>
      <c r="G1644">
        <v>1</v>
      </c>
      <c r="H1644">
        <v>16</v>
      </c>
      <c r="I1644" t="s">
        <v>23</v>
      </c>
      <c r="J1644" s="3">
        <v>637.09530800000005</v>
      </c>
      <c r="K1644" s="3" t="s">
        <v>24</v>
      </c>
      <c r="L1644" s="3" t="s">
        <v>24</v>
      </c>
      <c r="M1644" s="3" t="s">
        <v>24</v>
      </c>
      <c r="N1644" s="3">
        <v>10216.15</v>
      </c>
      <c r="O1644" s="4"/>
      <c r="P1644" s="4"/>
      <c r="Q1644" s="4"/>
      <c r="R1644" s="5">
        <v>0</v>
      </c>
      <c r="S1644">
        <v>0</v>
      </c>
      <c r="T1644" t="b">
        <v>1</v>
      </c>
      <c r="U1644">
        <v>-1</v>
      </c>
      <c r="V1644" s="4">
        <v>75.64</v>
      </c>
    </row>
    <row r="1645" spans="1:22" x14ac:dyDescent="0.35">
      <c r="A1645" t="s">
        <v>28</v>
      </c>
      <c r="B1645">
        <v>1</v>
      </c>
      <c r="C1645">
        <v>1</v>
      </c>
      <c r="D1645">
        <v>10</v>
      </c>
      <c r="E1645" t="s">
        <v>29</v>
      </c>
      <c r="F1645">
        <v>200</v>
      </c>
      <c r="G1645">
        <v>3</v>
      </c>
      <c r="H1645">
        <v>16</v>
      </c>
      <c r="I1645" t="s">
        <v>23</v>
      </c>
      <c r="J1645" s="3">
        <v>628.56637799999999</v>
      </c>
      <c r="K1645" s="3">
        <v>10216.15</v>
      </c>
      <c r="L1645" s="3">
        <v>13295.13</v>
      </c>
      <c r="M1645" s="3">
        <v>10216.15</v>
      </c>
      <c r="N1645" s="3">
        <v>10216.15</v>
      </c>
      <c r="O1645" s="4">
        <v>0</v>
      </c>
      <c r="P1645" s="4">
        <v>30.138400000000001</v>
      </c>
      <c r="Q1645" s="4">
        <v>0</v>
      </c>
      <c r="R1645" s="5">
        <v>1.1999999999999999E-3</v>
      </c>
      <c r="S1645">
        <v>9</v>
      </c>
      <c r="T1645" t="b">
        <v>0</v>
      </c>
      <c r="U1645">
        <v>5</v>
      </c>
      <c r="V1645" s="4">
        <v>223.95</v>
      </c>
    </row>
    <row r="1646" spans="1:22" x14ac:dyDescent="0.35">
      <c r="A1646" t="s">
        <v>28</v>
      </c>
      <c r="B1646">
        <v>1</v>
      </c>
      <c r="C1646">
        <v>3</v>
      </c>
      <c r="D1646">
        <v>2</v>
      </c>
      <c r="E1646" t="s">
        <v>29</v>
      </c>
      <c r="F1646">
        <v>50</v>
      </c>
      <c r="G1646">
        <v>1</v>
      </c>
      <c r="H1646">
        <v>16</v>
      </c>
      <c r="I1646" t="s">
        <v>23</v>
      </c>
      <c r="J1646" s="3">
        <v>135.790515</v>
      </c>
      <c r="K1646" s="3">
        <v>11816.173000000001</v>
      </c>
      <c r="L1646" s="3">
        <v>12206.07</v>
      </c>
      <c r="M1646" s="3">
        <v>10216.15</v>
      </c>
      <c r="N1646" s="3">
        <v>10216.15</v>
      </c>
      <c r="O1646" s="4">
        <v>15.6617</v>
      </c>
      <c r="P1646" s="4">
        <v>19.478200000000001</v>
      </c>
      <c r="Q1646" s="4">
        <v>0</v>
      </c>
      <c r="R1646" s="5">
        <v>1.9E-3</v>
      </c>
      <c r="S1646">
        <v>11</v>
      </c>
      <c r="T1646" t="b">
        <v>0</v>
      </c>
      <c r="U1646">
        <v>11</v>
      </c>
      <c r="V1646" s="4">
        <v>30.25</v>
      </c>
    </row>
    <row r="1647" spans="1:22" x14ac:dyDescent="0.35">
      <c r="A1647" t="s">
        <v>28</v>
      </c>
      <c r="B1647">
        <v>1</v>
      </c>
      <c r="C1647">
        <v>3</v>
      </c>
      <c r="D1647">
        <v>2</v>
      </c>
      <c r="E1647" t="s">
        <v>29</v>
      </c>
      <c r="F1647">
        <v>50</v>
      </c>
      <c r="G1647">
        <v>3</v>
      </c>
      <c r="H1647">
        <v>16</v>
      </c>
      <c r="I1647" t="s">
        <v>23</v>
      </c>
      <c r="J1647" s="3">
        <v>71.671933999999993</v>
      </c>
      <c r="K1647" s="3">
        <v>10216.15</v>
      </c>
      <c r="L1647" s="3">
        <v>12905.233</v>
      </c>
      <c r="M1647" s="3">
        <v>10216.15</v>
      </c>
      <c r="N1647" s="3">
        <v>10216.15</v>
      </c>
      <c r="O1647" s="4">
        <v>0</v>
      </c>
      <c r="P1647" s="4">
        <v>26.321899999999999</v>
      </c>
      <c r="Q1647" s="4">
        <v>0</v>
      </c>
      <c r="R1647" s="5">
        <v>2E-3</v>
      </c>
      <c r="S1647">
        <v>12</v>
      </c>
      <c r="T1647" t="b">
        <v>0</v>
      </c>
      <c r="U1647">
        <v>6</v>
      </c>
      <c r="V1647" s="4">
        <v>88.65</v>
      </c>
    </row>
    <row r="1648" spans="1:22" x14ac:dyDescent="0.35">
      <c r="A1648" t="s">
        <v>28</v>
      </c>
      <c r="B1648">
        <v>1</v>
      </c>
      <c r="C1648">
        <v>3</v>
      </c>
      <c r="D1648">
        <v>2</v>
      </c>
      <c r="E1648" t="s">
        <v>29</v>
      </c>
      <c r="F1648">
        <v>200</v>
      </c>
      <c r="G1648">
        <v>1</v>
      </c>
      <c r="H1648">
        <v>16</v>
      </c>
      <c r="I1648" t="s">
        <v>23</v>
      </c>
      <c r="J1648" s="3">
        <v>102.810599</v>
      </c>
      <c r="K1648" s="3">
        <v>10216.15</v>
      </c>
      <c r="L1648" s="3">
        <v>12937.806</v>
      </c>
      <c r="M1648" s="3">
        <v>10216.15</v>
      </c>
      <c r="N1648" s="3">
        <v>10216.15</v>
      </c>
      <c r="O1648" s="4">
        <v>0</v>
      </c>
      <c r="P1648" s="4">
        <v>26.640699999999999</v>
      </c>
      <c r="Q1648" s="4">
        <v>0</v>
      </c>
      <c r="R1648" s="5">
        <v>9.5999999999999992E-3</v>
      </c>
      <c r="S1648">
        <v>23</v>
      </c>
      <c r="T1648" t="b">
        <v>0</v>
      </c>
      <c r="U1648">
        <v>10</v>
      </c>
      <c r="V1648" s="4">
        <v>88.38</v>
      </c>
    </row>
    <row r="1649" spans="1:22" x14ac:dyDescent="0.35">
      <c r="A1649" t="s">
        <v>28</v>
      </c>
      <c r="B1649">
        <v>1</v>
      </c>
      <c r="C1649">
        <v>3</v>
      </c>
      <c r="D1649">
        <v>2</v>
      </c>
      <c r="E1649" t="s">
        <v>29</v>
      </c>
      <c r="F1649">
        <v>200</v>
      </c>
      <c r="G1649">
        <v>3</v>
      </c>
      <c r="H1649">
        <v>16</v>
      </c>
      <c r="I1649" t="s">
        <v>23</v>
      </c>
      <c r="J1649" s="3">
        <v>37.543858999999998</v>
      </c>
      <c r="K1649" s="3">
        <v>10216.15</v>
      </c>
      <c r="L1649" s="3">
        <v>14895.153</v>
      </c>
      <c r="M1649" s="3">
        <v>10216.15</v>
      </c>
      <c r="N1649" s="3">
        <v>10216.15</v>
      </c>
      <c r="O1649" s="4">
        <v>0</v>
      </c>
      <c r="P1649" s="4">
        <v>45.8001</v>
      </c>
      <c r="Q1649" s="4">
        <v>0</v>
      </c>
      <c r="R1649" s="5">
        <v>2.1700000000000001E-2</v>
      </c>
      <c r="S1649">
        <v>24</v>
      </c>
      <c r="T1649" t="b">
        <v>0</v>
      </c>
      <c r="U1649">
        <v>8</v>
      </c>
      <c r="V1649" s="4">
        <v>252.47</v>
      </c>
    </row>
    <row r="1650" spans="1:22" x14ac:dyDescent="0.35">
      <c r="A1650" t="s">
        <v>28</v>
      </c>
      <c r="B1650">
        <v>1</v>
      </c>
      <c r="C1650">
        <v>3</v>
      </c>
      <c r="D1650">
        <v>5</v>
      </c>
      <c r="E1650" t="s">
        <v>29</v>
      </c>
      <c r="F1650">
        <v>50</v>
      </c>
      <c r="G1650">
        <v>1</v>
      </c>
      <c r="H1650">
        <v>16</v>
      </c>
      <c r="I1650" t="s">
        <v>23</v>
      </c>
      <c r="J1650" s="3">
        <v>328.39982800000001</v>
      </c>
      <c r="K1650" s="3">
        <v>10216.15</v>
      </c>
      <c r="L1650" s="3">
        <v>13224.505999999999</v>
      </c>
      <c r="M1650" s="3">
        <v>10216.15</v>
      </c>
      <c r="N1650" s="3">
        <v>10216.15</v>
      </c>
      <c r="O1650" s="4">
        <v>0</v>
      </c>
      <c r="P1650" s="4">
        <v>29.447099999999999</v>
      </c>
      <c r="Q1650" s="4">
        <v>0</v>
      </c>
      <c r="R1650" s="5">
        <v>1.1999999999999999E-3</v>
      </c>
      <c r="S1650">
        <v>11</v>
      </c>
      <c r="T1650" t="b">
        <v>0</v>
      </c>
      <c r="U1650">
        <v>2</v>
      </c>
      <c r="V1650" s="4">
        <v>30.03</v>
      </c>
    </row>
    <row r="1651" spans="1:22" x14ac:dyDescent="0.35">
      <c r="A1651" t="s">
        <v>28</v>
      </c>
      <c r="B1651">
        <v>1</v>
      </c>
      <c r="C1651">
        <v>3</v>
      </c>
      <c r="D1651">
        <v>5</v>
      </c>
      <c r="E1651" t="s">
        <v>29</v>
      </c>
      <c r="F1651">
        <v>50</v>
      </c>
      <c r="G1651">
        <v>3</v>
      </c>
      <c r="H1651">
        <v>16</v>
      </c>
      <c r="I1651" t="s">
        <v>23</v>
      </c>
      <c r="J1651" s="3">
        <v>180.67644200000001</v>
      </c>
      <c r="K1651" s="3">
        <v>11886.797</v>
      </c>
      <c r="L1651" s="3">
        <v>12937.806</v>
      </c>
      <c r="M1651" s="3">
        <v>10216.15</v>
      </c>
      <c r="N1651" s="3">
        <v>10216.15</v>
      </c>
      <c r="O1651" s="4">
        <v>16.353000000000002</v>
      </c>
      <c r="P1651" s="4">
        <v>26.640699999999999</v>
      </c>
      <c r="Q1651" s="4">
        <v>0</v>
      </c>
      <c r="R1651" s="5">
        <v>6.0600000000000001E-2</v>
      </c>
      <c r="S1651">
        <v>24</v>
      </c>
      <c r="T1651" t="b">
        <v>0</v>
      </c>
      <c r="U1651">
        <v>14</v>
      </c>
      <c r="V1651" s="4">
        <v>88.69</v>
      </c>
    </row>
    <row r="1652" spans="1:22" x14ac:dyDescent="0.35">
      <c r="A1652" t="s">
        <v>28</v>
      </c>
      <c r="B1652">
        <v>1</v>
      </c>
      <c r="C1652">
        <v>3</v>
      </c>
      <c r="D1652">
        <v>5</v>
      </c>
      <c r="E1652" t="s">
        <v>29</v>
      </c>
      <c r="F1652">
        <v>200</v>
      </c>
      <c r="G1652">
        <v>1</v>
      </c>
      <c r="H1652">
        <v>16</v>
      </c>
      <c r="I1652" t="s">
        <v>23</v>
      </c>
      <c r="J1652" s="3">
        <v>328.10332699999998</v>
      </c>
      <c r="K1652" s="3">
        <v>10216.15</v>
      </c>
      <c r="L1652" s="3">
        <v>13224.505999999999</v>
      </c>
      <c r="M1652" s="3">
        <v>10216.15</v>
      </c>
      <c r="N1652" s="3">
        <v>10216.15</v>
      </c>
      <c r="O1652" s="4">
        <v>0</v>
      </c>
      <c r="P1652" s="4">
        <v>29.447099999999999</v>
      </c>
      <c r="Q1652" s="4">
        <v>0</v>
      </c>
      <c r="R1652" s="5">
        <v>3.3E-3</v>
      </c>
      <c r="S1652">
        <v>16</v>
      </c>
      <c r="T1652" t="b">
        <v>0</v>
      </c>
      <c r="U1652">
        <v>3</v>
      </c>
      <c r="V1652" s="4">
        <v>89.19</v>
      </c>
    </row>
    <row r="1653" spans="1:22" x14ac:dyDescent="0.35">
      <c r="A1653" t="s">
        <v>28</v>
      </c>
      <c r="B1653">
        <v>1</v>
      </c>
      <c r="C1653">
        <v>3</v>
      </c>
      <c r="D1653">
        <v>5</v>
      </c>
      <c r="E1653" t="s">
        <v>29</v>
      </c>
      <c r="F1653">
        <v>200</v>
      </c>
      <c r="G1653">
        <v>3</v>
      </c>
      <c r="H1653">
        <v>16</v>
      </c>
      <c r="I1653" t="s">
        <v>23</v>
      </c>
      <c r="J1653" s="3">
        <v>79.670100000000005</v>
      </c>
      <c r="K1653" s="3">
        <v>12173.496999999999</v>
      </c>
      <c r="L1653" s="3">
        <v>12937.806</v>
      </c>
      <c r="M1653" s="3">
        <v>10216.15</v>
      </c>
      <c r="N1653" s="3">
        <v>10216.15</v>
      </c>
      <c r="O1653" s="4">
        <v>19.159300000000002</v>
      </c>
      <c r="P1653" s="4">
        <v>26.640699999999999</v>
      </c>
      <c r="Q1653" s="4">
        <v>0</v>
      </c>
      <c r="R1653" s="5">
        <v>5.3699999999999998E-2</v>
      </c>
      <c r="S1653">
        <v>24</v>
      </c>
      <c r="T1653" t="b">
        <v>0</v>
      </c>
      <c r="U1653">
        <v>11</v>
      </c>
      <c r="V1653" s="4">
        <v>261.52</v>
      </c>
    </row>
    <row r="1654" spans="1:22" x14ac:dyDescent="0.35">
      <c r="A1654" t="s">
        <v>28</v>
      </c>
      <c r="B1654">
        <v>1</v>
      </c>
      <c r="C1654">
        <v>3</v>
      </c>
      <c r="D1654">
        <v>10</v>
      </c>
      <c r="E1654" t="s">
        <v>29</v>
      </c>
      <c r="F1654">
        <v>50</v>
      </c>
      <c r="G1654">
        <v>1</v>
      </c>
      <c r="H1654">
        <v>16</v>
      </c>
      <c r="I1654" t="s">
        <v>23</v>
      </c>
      <c r="J1654" s="3">
        <v>631.23880299999996</v>
      </c>
      <c r="K1654" s="3">
        <v>11816.173000000001</v>
      </c>
      <c r="L1654" s="3">
        <v>12356.218999999999</v>
      </c>
      <c r="M1654" s="3">
        <v>10216.15</v>
      </c>
      <c r="N1654" s="3">
        <v>10216.15</v>
      </c>
      <c r="O1654" s="4">
        <v>15.6617</v>
      </c>
      <c r="P1654" s="4">
        <v>20.947900000000001</v>
      </c>
      <c r="Q1654" s="4">
        <v>0</v>
      </c>
      <c r="R1654" s="5">
        <v>2.3E-3</v>
      </c>
      <c r="S1654">
        <v>16</v>
      </c>
      <c r="T1654" t="b">
        <v>0</v>
      </c>
      <c r="U1654">
        <v>11</v>
      </c>
      <c r="V1654" s="4">
        <v>30.35</v>
      </c>
    </row>
    <row r="1655" spans="1:22" x14ac:dyDescent="0.35">
      <c r="A1655" t="s">
        <v>28</v>
      </c>
      <c r="B1655">
        <v>1</v>
      </c>
      <c r="C1655">
        <v>3</v>
      </c>
      <c r="D1655">
        <v>10</v>
      </c>
      <c r="E1655" t="s">
        <v>29</v>
      </c>
      <c r="F1655">
        <v>50</v>
      </c>
      <c r="G1655">
        <v>3</v>
      </c>
      <c r="H1655">
        <v>16</v>
      </c>
      <c r="I1655" t="s">
        <v>23</v>
      </c>
      <c r="J1655" s="3">
        <v>370.41465099999999</v>
      </c>
      <c r="K1655" s="3">
        <v>10216.15</v>
      </c>
      <c r="L1655" s="3">
        <v>12206.07</v>
      </c>
      <c r="M1655" s="3">
        <v>10216.15</v>
      </c>
      <c r="N1655" s="3">
        <v>10216.15</v>
      </c>
      <c r="O1655" s="4">
        <v>0</v>
      </c>
      <c r="P1655" s="4">
        <v>19.478200000000001</v>
      </c>
      <c r="Q1655" s="4">
        <v>0</v>
      </c>
      <c r="R1655" s="5">
        <v>3.39E-2</v>
      </c>
      <c r="S1655">
        <v>24</v>
      </c>
      <c r="T1655" t="b">
        <v>0</v>
      </c>
      <c r="U1655">
        <v>23</v>
      </c>
      <c r="V1655" s="4">
        <v>89</v>
      </c>
    </row>
    <row r="1656" spans="1:22" x14ac:dyDescent="0.35">
      <c r="A1656" t="s">
        <v>28</v>
      </c>
      <c r="B1656">
        <v>1</v>
      </c>
      <c r="C1656">
        <v>3</v>
      </c>
      <c r="D1656">
        <v>10</v>
      </c>
      <c r="E1656" t="s">
        <v>29</v>
      </c>
      <c r="F1656">
        <v>200</v>
      </c>
      <c r="G1656">
        <v>1</v>
      </c>
      <c r="H1656">
        <v>16</v>
      </c>
      <c r="I1656" t="s">
        <v>23</v>
      </c>
      <c r="J1656" s="3">
        <v>642.55976199999998</v>
      </c>
      <c r="K1656" s="3">
        <v>11886.797</v>
      </c>
      <c r="L1656" s="3">
        <v>12206.07</v>
      </c>
      <c r="M1656" s="3">
        <v>11886.797</v>
      </c>
      <c r="N1656" s="3">
        <v>10216.15</v>
      </c>
      <c r="O1656" s="4">
        <v>16.353000000000002</v>
      </c>
      <c r="P1656" s="4">
        <v>19.478200000000001</v>
      </c>
      <c r="Q1656" s="4">
        <v>16.353000000000002</v>
      </c>
      <c r="R1656" s="5">
        <v>4.0000000000000002E-4</v>
      </c>
      <c r="S1656">
        <v>4</v>
      </c>
      <c r="T1656" t="b">
        <v>0</v>
      </c>
      <c r="U1656">
        <v>3</v>
      </c>
      <c r="V1656" s="4">
        <v>89.88</v>
      </c>
    </row>
    <row r="1657" spans="1:22" x14ac:dyDescent="0.35">
      <c r="A1657" t="s">
        <v>28</v>
      </c>
      <c r="B1657">
        <v>1</v>
      </c>
      <c r="C1657">
        <v>3</v>
      </c>
      <c r="D1657">
        <v>10</v>
      </c>
      <c r="E1657" t="s">
        <v>29</v>
      </c>
      <c r="F1657">
        <v>200</v>
      </c>
      <c r="G1657">
        <v>3</v>
      </c>
      <c r="H1657">
        <v>16</v>
      </c>
      <c r="I1657" t="s">
        <v>23</v>
      </c>
      <c r="J1657" s="3">
        <v>471.25670300000002</v>
      </c>
      <c r="K1657" s="3">
        <v>11816.173000000001</v>
      </c>
      <c r="L1657" s="3">
        <v>12356.218999999999</v>
      </c>
      <c r="M1657" s="3">
        <v>10216.15</v>
      </c>
      <c r="N1657" s="3">
        <v>10216.15</v>
      </c>
      <c r="O1657" s="4">
        <v>15.6617</v>
      </c>
      <c r="P1657" s="4">
        <v>20.947900000000001</v>
      </c>
      <c r="Q1657" s="4">
        <v>0</v>
      </c>
      <c r="R1657" s="5">
        <v>2.2700000000000001E-2</v>
      </c>
      <c r="S1657">
        <v>24</v>
      </c>
      <c r="T1657" t="b">
        <v>0</v>
      </c>
      <c r="U1657">
        <v>21</v>
      </c>
      <c r="V1657" s="4">
        <v>267.57</v>
      </c>
    </row>
    <row r="1658" spans="1:22" x14ac:dyDescent="0.35">
      <c r="A1658" t="s">
        <v>28</v>
      </c>
      <c r="B1658">
        <v>2</v>
      </c>
      <c r="C1658">
        <v>1</v>
      </c>
      <c r="D1658">
        <v>2</v>
      </c>
      <c r="E1658" t="s">
        <v>29</v>
      </c>
      <c r="F1658">
        <v>50</v>
      </c>
      <c r="G1658">
        <v>1</v>
      </c>
      <c r="H1658">
        <v>20</v>
      </c>
      <c r="I1658" t="s">
        <v>26</v>
      </c>
      <c r="J1658" s="3">
        <v>148.55683200000001</v>
      </c>
      <c r="K1658" s="3" t="s">
        <v>24</v>
      </c>
      <c r="L1658" s="3" t="s">
        <v>24</v>
      </c>
      <c r="M1658" s="3" t="s">
        <v>24</v>
      </c>
      <c r="N1658" s="3">
        <v>13612.992</v>
      </c>
      <c r="O1658" s="4"/>
      <c r="P1658" s="4"/>
      <c r="Q1658" s="4"/>
      <c r="R1658" s="5">
        <v>0</v>
      </c>
      <c r="S1658">
        <v>0</v>
      </c>
      <c r="T1658" t="b">
        <v>1</v>
      </c>
      <c r="U1658">
        <v>-1</v>
      </c>
      <c r="V1658" s="4">
        <v>29.14</v>
      </c>
    </row>
    <row r="1659" spans="1:22" x14ac:dyDescent="0.35">
      <c r="A1659" t="s">
        <v>28</v>
      </c>
      <c r="B1659">
        <v>2</v>
      </c>
      <c r="C1659">
        <v>1</v>
      </c>
      <c r="D1659">
        <v>2</v>
      </c>
      <c r="E1659" t="s">
        <v>29</v>
      </c>
      <c r="F1659">
        <v>50</v>
      </c>
      <c r="G1659">
        <v>3</v>
      </c>
      <c r="H1659">
        <v>20</v>
      </c>
      <c r="I1659" t="s">
        <v>26</v>
      </c>
      <c r="J1659" s="3">
        <v>147.42467300000001</v>
      </c>
      <c r="K1659" s="3" t="s">
        <v>24</v>
      </c>
      <c r="L1659" s="3" t="s">
        <v>24</v>
      </c>
      <c r="M1659" s="3" t="s">
        <v>24</v>
      </c>
      <c r="N1659" s="3">
        <v>13612.992</v>
      </c>
      <c r="O1659" s="4"/>
      <c r="P1659" s="4"/>
      <c r="Q1659" s="4"/>
      <c r="R1659" s="5">
        <v>0</v>
      </c>
      <c r="S1659">
        <v>0</v>
      </c>
      <c r="T1659" t="b">
        <v>1</v>
      </c>
      <c r="U1659">
        <v>-1</v>
      </c>
      <c r="V1659" s="4">
        <v>85.56</v>
      </c>
    </row>
    <row r="1660" spans="1:22" x14ac:dyDescent="0.35">
      <c r="A1660" t="s">
        <v>28</v>
      </c>
      <c r="B1660">
        <v>2</v>
      </c>
      <c r="C1660">
        <v>1</v>
      </c>
      <c r="D1660">
        <v>2</v>
      </c>
      <c r="E1660" t="s">
        <v>29</v>
      </c>
      <c r="F1660">
        <v>200</v>
      </c>
      <c r="G1660">
        <v>1</v>
      </c>
      <c r="H1660">
        <v>20</v>
      </c>
      <c r="I1660" t="s">
        <v>26</v>
      </c>
      <c r="J1660" s="3">
        <v>148.501282</v>
      </c>
      <c r="K1660" s="3">
        <v>14664.001</v>
      </c>
      <c r="L1660" s="3">
        <v>15889.611999999999</v>
      </c>
      <c r="M1660" s="3">
        <v>14664.001</v>
      </c>
      <c r="N1660" s="3">
        <v>13612.992</v>
      </c>
      <c r="O1660" s="4">
        <v>7.7206000000000001</v>
      </c>
      <c r="P1660" s="4">
        <v>16.7239</v>
      </c>
      <c r="Q1660" s="4">
        <v>7.7206000000000001</v>
      </c>
      <c r="R1660" s="5">
        <v>5.9999999999999995E-4</v>
      </c>
      <c r="S1660">
        <v>6</v>
      </c>
      <c r="T1660" t="b">
        <v>0</v>
      </c>
      <c r="U1660">
        <v>6</v>
      </c>
      <c r="V1660" s="4">
        <v>85.56</v>
      </c>
    </row>
    <row r="1661" spans="1:22" x14ac:dyDescent="0.35">
      <c r="A1661" t="s">
        <v>28</v>
      </c>
      <c r="B1661">
        <v>2</v>
      </c>
      <c r="C1661">
        <v>1</v>
      </c>
      <c r="D1661">
        <v>2</v>
      </c>
      <c r="E1661" t="s">
        <v>29</v>
      </c>
      <c r="F1661">
        <v>200</v>
      </c>
      <c r="G1661">
        <v>3</v>
      </c>
      <c r="H1661">
        <v>20</v>
      </c>
      <c r="I1661" t="s">
        <v>26</v>
      </c>
      <c r="J1661" s="3">
        <v>147.44665599999999</v>
      </c>
      <c r="K1661" s="3" t="s">
        <v>24</v>
      </c>
      <c r="L1661" s="3" t="s">
        <v>24</v>
      </c>
      <c r="M1661" s="3" t="s">
        <v>24</v>
      </c>
      <c r="N1661" s="3">
        <v>13612.992</v>
      </c>
      <c r="O1661" s="4"/>
      <c r="P1661" s="4"/>
      <c r="Q1661" s="4"/>
      <c r="R1661" s="5">
        <v>0</v>
      </c>
      <c r="S1661">
        <v>0</v>
      </c>
      <c r="T1661" t="b">
        <v>1</v>
      </c>
      <c r="U1661">
        <v>-1</v>
      </c>
      <c r="V1661" s="4">
        <v>254.74</v>
      </c>
    </row>
    <row r="1662" spans="1:22" x14ac:dyDescent="0.35">
      <c r="A1662" t="s">
        <v>28</v>
      </c>
      <c r="B1662">
        <v>2</v>
      </c>
      <c r="C1662">
        <v>1</v>
      </c>
      <c r="D1662">
        <v>5</v>
      </c>
      <c r="E1662" t="s">
        <v>29</v>
      </c>
      <c r="F1662">
        <v>50</v>
      </c>
      <c r="G1662">
        <v>1</v>
      </c>
      <c r="H1662">
        <v>20</v>
      </c>
      <c r="I1662" t="s">
        <v>26</v>
      </c>
      <c r="J1662" s="3">
        <v>352.29469899999998</v>
      </c>
      <c r="K1662" s="3">
        <v>17742.981</v>
      </c>
      <c r="L1662" s="3">
        <v>17742.981</v>
      </c>
      <c r="M1662" s="3">
        <v>17742.981</v>
      </c>
      <c r="N1662" s="3">
        <v>13612.992</v>
      </c>
      <c r="O1662" s="4">
        <v>30.3386</v>
      </c>
      <c r="P1662" s="4">
        <v>30.3386</v>
      </c>
      <c r="Q1662" s="4">
        <v>30.3386</v>
      </c>
      <c r="R1662" s="5">
        <v>1E-4</v>
      </c>
      <c r="S1662">
        <v>1</v>
      </c>
      <c r="T1662" t="b">
        <v>0</v>
      </c>
      <c r="U1662">
        <v>1</v>
      </c>
      <c r="V1662" s="4">
        <v>29.09</v>
      </c>
    </row>
    <row r="1663" spans="1:22" x14ac:dyDescent="0.35">
      <c r="A1663" t="s">
        <v>28</v>
      </c>
      <c r="B1663">
        <v>2</v>
      </c>
      <c r="C1663">
        <v>1</v>
      </c>
      <c r="D1663">
        <v>5</v>
      </c>
      <c r="E1663" t="s">
        <v>29</v>
      </c>
      <c r="F1663">
        <v>50</v>
      </c>
      <c r="G1663">
        <v>3</v>
      </c>
      <c r="H1663">
        <v>20</v>
      </c>
      <c r="I1663" t="s">
        <v>26</v>
      </c>
      <c r="J1663" s="3">
        <v>352.29469899999998</v>
      </c>
      <c r="K1663" s="3">
        <v>17742.981</v>
      </c>
      <c r="L1663" s="3">
        <v>17742.981</v>
      </c>
      <c r="M1663" s="3">
        <v>17742.981</v>
      </c>
      <c r="N1663" s="3">
        <v>13612.992</v>
      </c>
      <c r="O1663" s="4">
        <v>30.3386</v>
      </c>
      <c r="P1663" s="4">
        <v>30.3386</v>
      </c>
      <c r="Q1663" s="4">
        <v>30.3386</v>
      </c>
      <c r="R1663" s="5">
        <v>1E-4</v>
      </c>
      <c r="S1663">
        <v>1</v>
      </c>
      <c r="T1663" t="b">
        <v>0</v>
      </c>
      <c r="U1663">
        <v>1</v>
      </c>
      <c r="V1663" s="4">
        <v>86.07</v>
      </c>
    </row>
    <row r="1664" spans="1:22" x14ac:dyDescent="0.35">
      <c r="A1664" t="s">
        <v>28</v>
      </c>
      <c r="B1664">
        <v>2</v>
      </c>
      <c r="C1664">
        <v>1</v>
      </c>
      <c r="D1664">
        <v>5</v>
      </c>
      <c r="E1664" t="s">
        <v>29</v>
      </c>
      <c r="F1664">
        <v>200</v>
      </c>
      <c r="G1664">
        <v>1</v>
      </c>
      <c r="H1664">
        <v>20</v>
      </c>
      <c r="I1664" t="s">
        <v>26</v>
      </c>
      <c r="J1664" s="3">
        <v>118.65971</v>
      </c>
      <c r="K1664" s="3">
        <v>13612.992</v>
      </c>
      <c r="L1664" s="3">
        <v>15602.912</v>
      </c>
      <c r="M1664" s="3">
        <v>13612.992</v>
      </c>
      <c r="N1664" s="3">
        <v>13612.992</v>
      </c>
      <c r="O1664" s="4">
        <v>0</v>
      </c>
      <c r="P1664" s="4">
        <v>14.617800000000001</v>
      </c>
      <c r="Q1664" s="4">
        <v>0</v>
      </c>
      <c r="R1664" s="5">
        <v>8.8999999999999999E-3</v>
      </c>
      <c r="S1664">
        <v>33</v>
      </c>
      <c r="T1664" t="b">
        <v>0</v>
      </c>
      <c r="U1664">
        <v>8</v>
      </c>
      <c r="V1664" s="4">
        <v>84.75</v>
      </c>
    </row>
    <row r="1665" spans="1:22" x14ac:dyDescent="0.35">
      <c r="A1665" t="s">
        <v>28</v>
      </c>
      <c r="B1665">
        <v>2</v>
      </c>
      <c r="C1665">
        <v>1</v>
      </c>
      <c r="D1665">
        <v>5</v>
      </c>
      <c r="E1665" t="s">
        <v>29</v>
      </c>
      <c r="F1665">
        <v>200</v>
      </c>
      <c r="G1665">
        <v>3</v>
      </c>
      <c r="H1665">
        <v>20</v>
      </c>
      <c r="I1665" t="s">
        <v>26</v>
      </c>
      <c r="J1665" s="3">
        <v>118.65971</v>
      </c>
      <c r="K1665" s="3">
        <v>13612.992</v>
      </c>
      <c r="L1665" s="3">
        <v>15602.912</v>
      </c>
      <c r="M1665" s="3">
        <v>13612.992</v>
      </c>
      <c r="N1665" s="3">
        <v>13612.992</v>
      </c>
      <c r="O1665" s="4">
        <v>0</v>
      </c>
      <c r="P1665" s="4">
        <v>14.617800000000001</v>
      </c>
      <c r="Q1665" s="4">
        <v>0</v>
      </c>
      <c r="R1665" s="5">
        <v>8.8999999999999999E-3</v>
      </c>
      <c r="S1665">
        <v>33</v>
      </c>
      <c r="T1665" t="b">
        <v>0</v>
      </c>
      <c r="U1665">
        <v>8</v>
      </c>
      <c r="V1665" s="4">
        <v>254.32</v>
      </c>
    </row>
    <row r="1666" spans="1:22" x14ac:dyDescent="0.35">
      <c r="A1666" t="s">
        <v>28</v>
      </c>
      <c r="B1666">
        <v>2</v>
      </c>
      <c r="C1666">
        <v>1</v>
      </c>
      <c r="D1666">
        <v>10</v>
      </c>
      <c r="E1666" t="s">
        <v>29</v>
      </c>
      <c r="F1666">
        <v>50</v>
      </c>
      <c r="G1666">
        <v>1</v>
      </c>
      <c r="H1666">
        <v>20</v>
      </c>
      <c r="I1666" t="s">
        <v>26</v>
      </c>
      <c r="J1666" s="3">
        <v>665.02763400000003</v>
      </c>
      <c r="K1666" s="3" t="s">
        <v>24</v>
      </c>
      <c r="L1666" s="3" t="s">
        <v>24</v>
      </c>
      <c r="M1666" s="3" t="s">
        <v>24</v>
      </c>
      <c r="N1666" s="3">
        <v>13612.992</v>
      </c>
      <c r="O1666" s="4"/>
      <c r="P1666" s="4"/>
      <c r="Q1666" s="4"/>
      <c r="R1666" s="5">
        <v>0</v>
      </c>
      <c r="S1666">
        <v>0</v>
      </c>
      <c r="T1666" t="b">
        <v>1</v>
      </c>
      <c r="U1666">
        <v>-1</v>
      </c>
      <c r="V1666" s="4">
        <v>29.21</v>
      </c>
    </row>
    <row r="1667" spans="1:22" x14ac:dyDescent="0.35">
      <c r="A1667" t="s">
        <v>28</v>
      </c>
      <c r="B1667">
        <v>2</v>
      </c>
      <c r="C1667">
        <v>1</v>
      </c>
      <c r="D1667">
        <v>10</v>
      </c>
      <c r="E1667" t="s">
        <v>29</v>
      </c>
      <c r="F1667">
        <v>50</v>
      </c>
      <c r="G1667">
        <v>3</v>
      </c>
      <c r="H1667">
        <v>20</v>
      </c>
      <c r="I1667" t="s">
        <v>26</v>
      </c>
      <c r="J1667" s="3">
        <v>665.02763400000003</v>
      </c>
      <c r="K1667" s="3" t="s">
        <v>24</v>
      </c>
      <c r="L1667" s="3" t="s">
        <v>24</v>
      </c>
      <c r="M1667" s="3" t="s">
        <v>24</v>
      </c>
      <c r="N1667" s="3">
        <v>13612.992</v>
      </c>
      <c r="O1667" s="4"/>
      <c r="P1667" s="4"/>
      <c r="Q1667" s="4"/>
      <c r="R1667" s="5">
        <v>0</v>
      </c>
      <c r="S1667">
        <v>0</v>
      </c>
      <c r="T1667" t="b">
        <v>1</v>
      </c>
      <c r="U1667">
        <v>-1</v>
      </c>
      <c r="V1667" s="4">
        <v>86.37</v>
      </c>
    </row>
    <row r="1668" spans="1:22" x14ac:dyDescent="0.35">
      <c r="A1668" t="s">
        <v>28</v>
      </c>
      <c r="B1668">
        <v>2</v>
      </c>
      <c r="C1668">
        <v>1</v>
      </c>
      <c r="D1668">
        <v>10</v>
      </c>
      <c r="E1668" t="s">
        <v>29</v>
      </c>
      <c r="F1668">
        <v>200</v>
      </c>
      <c r="G1668">
        <v>1</v>
      </c>
      <c r="H1668">
        <v>20</v>
      </c>
      <c r="I1668" t="s">
        <v>26</v>
      </c>
      <c r="J1668" s="3">
        <v>233.112663</v>
      </c>
      <c r="K1668" s="3">
        <v>14481.279</v>
      </c>
      <c r="L1668" s="3">
        <v>16072.334000000001</v>
      </c>
      <c r="M1668" s="3">
        <v>13612.992</v>
      </c>
      <c r="N1668" s="3">
        <v>13612.992</v>
      </c>
      <c r="O1668" s="4">
        <v>6.3784000000000001</v>
      </c>
      <c r="P1668" s="4">
        <v>18.066099999999999</v>
      </c>
      <c r="Q1668" s="4">
        <v>0</v>
      </c>
      <c r="R1668" s="5">
        <v>7.1999999999999998E-3</v>
      </c>
      <c r="S1668">
        <v>35</v>
      </c>
      <c r="T1668" t="b">
        <v>0</v>
      </c>
      <c r="U1668">
        <v>30</v>
      </c>
      <c r="V1668" s="4">
        <v>83.91</v>
      </c>
    </row>
    <row r="1669" spans="1:22" x14ac:dyDescent="0.35">
      <c r="A1669" t="s">
        <v>28</v>
      </c>
      <c r="B1669">
        <v>2</v>
      </c>
      <c r="C1669">
        <v>1</v>
      </c>
      <c r="D1669">
        <v>10</v>
      </c>
      <c r="E1669" t="s">
        <v>29</v>
      </c>
      <c r="F1669">
        <v>200</v>
      </c>
      <c r="G1669">
        <v>3</v>
      </c>
      <c r="H1669">
        <v>20</v>
      </c>
      <c r="I1669" t="s">
        <v>26</v>
      </c>
      <c r="J1669" s="3">
        <v>233.112663</v>
      </c>
      <c r="K1669" s="3">
        <v>14481.279</v>
      </c>
      <c r="L1669" s="3">
        <v>16072.334000000001</v>
      </c>
      <c r="M1669" s="3">
        <v>13612.992</v>
      </c>
      <c r="N1669" s="3">
        <v>13612.992</v>
      </c>
      <c r="O1669" s="4">
        <v>6.3784000000000001</v>
      </c>
      <c r="P1669" s="4">
        <v>18.066099999999999</v>
      </c>
      <c r="Q1669" s="4">
        <v>0</v>
      </c>
      <c r="R1669" s="5">
        <v>7.1999999999999998E-3</v>
      </c>
      <c r="S1669">
        <v>35</v>
      </c>
      <c r="T1669" t="b">
        <v>0</v>
      </c>
      <c r="U1669">
        <v>30</v>
      </c>
      <c r="V1669" s="4">
        <v>252.85</v>
      </c>
    </row>
    <row r="1670" spans="1:22" x14ac:dyDescent="0.35">
      <c r="A1670" t="s">
        <v>28</v>
      </c>
      <c r="B1670">
        <v>2</v>
      </c>
      <c r="C1670">
        <v>3</v>
      </c>
      <c r="D1670">
        <v>2</v>
      </c>
      <c r="E1670" t="s">
        <v>29</v>
      </c>
      <c r="F1670">
        <v>50</v>
      </c>
      <c r="G1670">
        <v>1</v>
      </c>
      <c r="H1670">
        <v>20</v>
      </c>
      <c r="I1670" t="s">
        <v>26</v>
      </c>
      <c r="J1670" s="3">
        <v>149.65354099999999</v>
      </c>
      <c r="K1670" s="3">
        <v>13932.264999999999</v>
      </c>
      <c r="L1670" s="3">
        <v>13932.264999999999</v>
      </c>
      <c r="M1670" s="3">
        <v>13932.264999999999</v>
      </c>
      <c r="N1670" s="3">
        <v>13612.992</v>
      </c>
      <c r="O1670" s="4">
        <v>2.3454000000000002</v>
      </c>
      <c r="P1670" s="4">
        <v>2.3454000000000002</v>
      </c>
      <c r="Q1670" s="4">
        <v>2.3454000000000002</v>
      </c>
      <c r="R1670" s="5">
        <v>2.9999999999999997E-4</v>
      </c>
      <c r="S1670">
        <v>3</v>
      </c>
      <c r="T1670" t="b">
        <v>0</v>
      </c>
      <c r="U1670">
        <v>1</v>
      </c>
      <c r="V1670" s="4">
        <v>44.83</v>
      </c>
    </row>
    <row r="1671" spans="1:22" x14ac:dyDescent="0.35">
      <c r="A1671" t="s">
        <v>28</v>
      </c>
      <c r="B1671">
        <v>2</v>
      </c>
      <c r="C1671">
        <v>3</v>
      </c>
      <c r="D1671">
        <v>2</v>
      </c>
      <c r="E1671" t="s">
        <v>29</v>
      </c>
      <c r="F1671">
        <v>50</v>
      </c>
      <c r="G1671">
        <v>3</v>
      </c>
      <c r="H1671">
        <v>20</v>
      </c>
      <c r="I1671" t="s">
        <v>26</v>
      </c>
      <c r="J1671" s="3">
        <v>149.38527199999999</v>
      </c>
      <c r="K1671" s="3">
        <v>13612.992</v>
      </c>
      <c r="L1671" s="3">
        <v>13612.992</v>
      </c>
      <c r="M1671" s="3">
        <v>13612.992</v>
      </c>
      <c r="N1671" s="3">
        <v>13612.992</v>
      </c>
      <c r="O1671" s="4">
        <v>0</v>
      </c>
      <c r="P1671" s="4">
        <v>0</v>
      </c>
      <c r="Q1671" s="4">
        <v>0</v>
      </c>
      <c r="R1671" s="5">
        <v>1E-4</v>
      </c>
      <c r="S1671">
        <v>1</v>
      </c>
      <c r="T1671" t="b">
        <v>0</v>
      </c>
      <c r="U1671">
        <v>1</v>
      </c>
      <c r="V1671" s="4">
        <v>132.75</v>
      </c>
    </row>
    <row r="1672" spans="1:22" x14ac:dyDescent="0.35">
      <c r="A1672" t="s">
        <v>28</v>
      </c>
      <c r="B1672">
        <v>2</v>
      </c>
      <c r="C1672">
        <v>3</v>
      </c>
      <c r="D1672">
        <v>2</v>
      </c>
      <c r="E1672" t="s">
        <v>29</v>
      </c>
      <c r="F1672">
        <v>200</v>
      </c>
      <c r="G1672">
        <v>1</v>
      </c>
      <c r="H1672">
        <v>20</v>
      </c>
      <c r="I1672" t="s">
        <v>26</v>
      </c>
      <c r="J1672" s="3">
        <v>151.04452000000001</v>
      </c>
      <c r="K1672" s="3">
        <v>15021.325000000001</v>
      </c>
      <c r="L1672" s="3">
        <v>16621.348000000002</v>
      </c>
      <c r="M1672" s="3">
        <v>15021.325000000001</v>
      </c>
      <c r="N1672" s="3">
        <v>13612.992</v>
      </c>
      <c r="O1672" s="4">
        <v>10.345499999999999</v>
      </c>
      <c r="P1672" s="4">
        <v>22.0992</v>
      </c>
      <c r="Q1672" s="4">
        <v>10.345499999999999</v>
      </c>
      <c r="R1672" s="5">
        <v>2.0000000000000001E-4</v>
      </c>
      <c r="S1672">
        <v>2</v>
      </c>
      <c r="T1672" t="b">
        <v>0</v>
      </c>
      <c r="U1672">
        <v>2</v>
      </c>
      <c r="V1672" s="4">
        <v>133.24</v>
      </c>
    </row>
    <row r="1673" spans="1:22" x14ac:dyDescent="0.35">
      <c r="A1673" t="s">
        <v>28</v>
      </c>
      <c r="B1673">
        <v>2</v>
      </c>
      <c r="C1673">
        <v>3</v>
      </c>
      <c r="D1673">
        <v>2</v>
      </c>
      <c r="E1673" t="s">
        <v>29</v>
      </c>
      <c r="F1673">
        <v>200</v>
      </c>
      <c r="G1673">
        <v>3</v>
      </c>
      <c r="H1673">
        <v>20</v>
      </c>
      <c r="I1673" t="s">
        <v>26</v>
      </c>
      <c r="J1673" s="3">
        <v>131.99635599999999</v>
      </c>
      <c r="K1673" s="3">
        <v>14664.001</v>
      </c>
      <c r="L1673" s="3">
        <v>14664.001</v>
      </c>
      <c r="M1673" s="3">
        <v>14664.001</v>
      </c>
      <c r="N1673" s="3">
        <v>13612.992</v>
      </c>
      <c r="O1673" s="4">
        <v>7.7206000000000001</v>
      </c>
      <c r="P1673" s="4">
        <v>7.7206000000000001</v>
      </c>
      <c r="Q1673" s="4">
        <v>7.7206000000000001</v>
      </c>
      <c r="R1673" s="5">
        <v>1E-4</v>
      </c>
      <c r="S1673">
        <v>1</v>
      </c>
      <c r="T1673" t="b">
        <v>0</v>
      </c>
      <c r="U1673">
        <v>1</v>
      </c>
      <c r="V1673" s="4">
        <v>392.19</v>
      </c>
    </row>
    <row r="1674" spans="1:22" x14ac:dyDescent="0.35">
      <c r="A1674" t="s">
        <v>28</v>
      </c>
      <c r="B1674">
        <v>2</v>
      </c>
      <c r="C1674">
        <v>3</v>
      </c>
      <c r="D1674">
        <v>5</v>
      </c>
      <c r="E1674" t="s">
        <v>29</v>
      </c>
      <c r="F1674">
        <v>50</v>
      </c>
      <c r="G1674">
        <v>1</v>
      </c>
      <c r="H1674">
        <v>20</v>
      </c>
      <c r="I1674" t="s">
        <v>26</v>
      </c>
      <c r="J1674" s="3">
        <v>356.59031900000002</v>
      </c>
      <c r="K1674" s="3" t="s">
        <v>24</v>
      </c>
      <c r="L1674" s="3" t="s">
        <v>24</v>
      </c>
      <c r="M1674" s="3" t="s">
        <v>24</v>
      </c>
      <c r="N1674" s="3">
        <v>13612.992</v>
      </c>
      <c r="O1674" s="4"/>
      <c r="P1674" s="4"/>
      <c r="Q1674" s="4"/>
      <c r="R1674" s="5">
        <v>0</v>
      </c>
      <c r="S1674">
        <v>0</v>
      </c>
      <c r="T1674" t="b">
        <v>1</v>
      </c>
      <c r="U1674">
        <v>-1</v>
      </c>
      <c r="V1674" s="4">
        <v>44.84</v>
      </c>
    </row>
    <row r="1675" spans="1:22" x14ac:dyDescent="0.35">
      <c r="A1675" t="s">
        <v>28</v>
      </c>
      <c r="B1675">
        <v>2</v>
      </c>
      <c r="C1675">
        <v>3</v>
      </c>
      <c r="D1675">
        <v>5</v>
      </c>
      <c r="E1675" t="s">
        <v>29</v>
      </c>
      <c r="F1675">
        <v>50</v>
      </c>
      <c r="G1675">
        <v>3</v>
      </c>
      <c r="H1675">
        <v>20</v>
      </c>
      <c r="I1675" t="s">
        <v>26</v>
      </c>
      <c r="J1675" s="3">
        <v>268.12384900000001</v>
      </c>
      <c r="K1675" s="3" t="s">
        <v>24</v>
      </c>
      <c r="L1675" s="3" t="s">
        <v>24</v>
      </c>
      <c r="M1675" s="3" t="s">
        <v>24</v>
      </c>
      <c r="N1675" s="3">
        <v>13612.992</v>
      </c>
      <c r="O1675" s="4"/>
      <c r="P1675" s="4"/>
      <c r="Q1675" s="4"/>
      <c r="R1675" s="5">
        <v>0</v>
      </c>
      <c r="S1675">
        <v>0</v>
      </c>
      <c r="T1675" t="b">
        <v>1</v>
      </c>
      <c r="U1675">
        <v>-1</v>
      </c>
      <c r="V1675" s="4">
        <v>136.28</v>
      </c>
    </row>
    <row r="1676" spans="1:22" x14ac:dyDescent="0.35">
      <c r="A1676" t="s">
        <v>28</v>
      </c>
      <c r="B1676">
        <v>2</v>
      </c>
      <c r="C1676">
        <v>3</v>
      </c>
      <c r="D1676">
        <v>5</v>
      </c>
      <c r="E1676" t="s">
        <v>29</v>
      </c>
      <c r="F1676">
        <v>200</v>
      </c>
      <c r="G1676">
        <v>1</v>
      </c>
      <c r="H1676">
        <v>20</v>
      </c>
      <c r="I1676" t="s">
        <v>26</v>
      </c>
      <c r="J1676" s="3">
        <v>360.94024999999999</v>
      </c>
      <c r="K1676" s="3" t="s">
        <v>24</v>
      </c>
      <c r="L1676" s="3" t="s">
        <v>24</v>
      </c>
      <c r="M1676" s="3" t="s">
        <v>24</v>
      </c>
      <c r="N1676" s="3">
        <v>13612.992</v>
      </c>
      <c r="O1676" s="4"/>
      <c r="P1676" s="4"/>
      <c r="Q1676" s="4"/>
      <c r="R1676" s="5">
        <v>0</v>
      </c>
      <c r="S1676">
        <v>0</v>
      </c>
      <c r="T1676" t="b">
        <v>1</v>
      </c>
      <c r="U1676">
        <v>-1</v>
      </c>
      <c r="V1676" s="4">
        <v>136.82</v>
      </c>
    </row>
    <row r="1677" spans="1:22" x14ac:dyDescent="0.35">
      <c r="A1677" t="s">
        <v>28</v>
      </c>
      <c r="B1677">
        <v>2</v>
      </c>
      <c r="C1677">
        <v>3</v>
      </c>
      <c r="D1677">
        <v>5</v>
      </c>
      <c r="E1677" t="s">
        <v>29</v>
      </c>
      <c r="F1677">
        <v>200</v>
      </c>
      <c r="G1677">
        <v>3</v>
      </c>
      <c r="H1677">
        <v>20</v>
      </c>
      <c r="I1677" t="s">
        <v>26</v>
      </c>
      <c r="J1677" s="3">
        <v>85.533714000000003</v>
      </c>
      <c r="K1677" s="3">
        <v>13932.264999999999</v>
      </c>
      <c r="L1677" s="3">
        <v>15602.912</v>
      </c>
      <c r="M1677" s="3">
        <v>13612.992</v>
      </c>
      <c r="N1677" s="3">
        <v>13612.992</v>
      </c>
      <c r="O1677" s="4">
        <v>2.3454000000000002</v>
      </c>
      <c r="P1677" s="4">
        <v>14.617800000000001</v>
      </c>
      <c r="Q1677" s="4">
        <v>0</v>
      </c>
      <c r="R1677" s="5">
        <v>2.9499999999999998E-2</v>
      </c>
      <c r="S1677">
        <v>36</v>
      </c>
      <c r="T1677" t="b">
        <v>0</v>
      </c>
      <c r="U1677">
        <v>11</v>
      </c>
      <c r="V1677" s="4">
        <v>393.66</v>
      </c>
    </row>
    <row r="1678" spans="1:22" x14ac:dyDescent="0.35">
      <c r="A1678" t="s">
        <v>28</v>
      </c>
      <c r="B1678">
        <v>2</v>
      </c>
      <c r="C1678">
        <v>3</v>
      </c>
      <c r="D1678">
        <v>10</v>
      </c>
      <c r="E1678" t="s">
        <v>29</v>
      </c>
      <c r="F1678">
        <v>50</v>
      </c>
      <c r="G1678">
        <v>1</v>
      </c>
      <c r="H1678">
        <v>20</v>
      </c>
      <c r="I1678" t="s">
        <v>26</v>
      </c>
      <c r="J1678" s="3">
        <v>730.23638300000005</v>
      </c>
      <c r="K1678" s="3" t="s">
        <v>24</v>
      </c>
      <c r="L1678" s="3" t="s">
        <v>24</v>
      </c>
      <c r="M1678" s="3" t="s">
        <v>24</v>
      </c>
      <c r="N1678" s="3">
        <v>13612.992</v>
      </c>
      <c r="O1678" s="4"/>
      <c r="P1678" s="4"/>
      <c r="Q1678" s="4"/>
      <c r="R1678" s="5">
        <v>0</v>
      </c>
      <c r="S1678">
        <v>0</v>
      </c>
      <c r="T1678" t="b">
        <v>1</v>
      </c>
      <c r="U1678">
        <v>-1</v>
      </c>
      <c r="V1678" s="4">
        <v>45.26</v>
      </c>
    </row>
    <row r="1679" spans="1:22" x14ac:dyDescent="0.35">
      <c r="A1679" t="s">
        <v>28</v>
      </c>
      <c r="B1679">
        <v>2</v>
      </c>
      <c r="C1679">
        <v>3</v>
      </c>
      <c r="D1679">
        <v>10</v>
      </c>
      <c r="E1679" t="s">
        <v>29</v>
      </c>
      <c r="F1679">
        <v>50</v>
      </c>
      <c r="G1679">
        <v>3</v>
      </c>
      <c r="H1679">
        <v>20</v>
      </c>
      <c r="I1679" t="s">
        <v>26</v>
      </c>
      <c r="J1679" s="3">
        <v>721.12286900000004</v>
      </c>
      <c r="K1679" s="3">
        <v>13612.992</v>
      </c>
      <c r="L1679" s="3">
        <v>13612.992</v>
      </c>
      <c r="M1679" s="3">
        <v>13612.992</v>
      </c>
      <c r="N1679" s="3">
        <v>13612.992</v>
      </c>
      <c r="O1679" s="4">
        <v>0</v>
      </c>
      <c r="P1679" s="4">
        <v>0</v>
      </c>
      <c r="Q1679" s="4">
        <v>0</v>
      </c>
      <c r="R1679" s="5">
        <v>2.0000000000000001E-4</v>
      </c>
      <c r="S1679">
        <v>2</v>
      </c>
      <c r="T1679" t="b">
        <v>0</v>
      </c>
      <c r="U1679">
        <v>1</v>
      </c>
      <c r="V1679" s="4">
        <v>132.72</v>
      </c>
    </row>
    <row r="1680" spans="1:22" x14ac:dyDescent="0.35">
      <c r="A1680" t="s">
        <v>28</v>
      </c>
      <c r="B1680">
        <v>2</v>
      </c>
      <c r="C1680">
        <v>3</v>
      </c>
      <c r="D1680">
        <v>10</v>
      </c>
      <c r="E1680" t="s">
        <v>29</v>
      </c>
      <c r="F1680">
        <v>200</v>
      </c>
      <c r="G1680">
        <v>1</v>
      </c>
      <c r="H1680">
        <v>20</v>
      </c>
      <c r="I1680" t="s">
        <v>26</v>
      </c>
      <c r="J1680" s="3">
        <v>716.831504</v>
      </c>
      <c r="K1680" s="3">
        <v>17011.244999999999</v>
      </c>
      <c r="L1680" s="3">
        <v>17011.244999999999</v>
      </c>
      <c r="M1680" s="3">
        <v>17011.244999999999</v>
      </c>
      <c r="N1680" s="3">
        <v>13612.992</v>
      </c>
      <c r="O1680" s="4">
        <v>24.9633</v>
      </c>
      <c r="P1680" s="4">
        <v>24.9633</v>
      </c>
      <c r="Q1680" s="4">
        <v>24.9633</v>
      </c>
      <c r="R1680" s="5">
        <v>1E-4</v>
      </c>
      <c r="S1680">
        <v>1</v>
      </c>
      <c r="T1680" t="b">
        <v>0</v>
      </c>
      <c r="U1680">
        <v>1</v>
      </c>
      <c r="V1680" s="4">
        <v>132.44999999999999</v>
      </c>
    </row>
    <row r="1681" spans="1:22" x14ac:dyDescent="0.35">
      <c r="A1681" t="s">
        <v>28</v>
      </c>
      <c r="B1681">
        <v>2</v>
      </c>
      <c r="C1681">
        <v>3</v>
      </c>
      <c r="D1681">
        <v>10</v>
      </c>
      <c r="E1681" t="s">
        <v>29</v>
      </c>
      <c r="F1681">
        <v>200</v>
      </c>
      <c r="G1681">
        <v>3</v>
      </c>
      <c r="H1681">
        <v>20</v>
      </c>
      <c r="I1681" t="s">
        <v>26</v>
      </c>
      <c r="J1681" s="3">
        <v>383.24188099999998</v>
      </c>
      <c r="K1681" s="3">
        <v>13932.264999999999</v>
      </c>
      <c r="L1681" s="3">
        <v>16621.348000000002</v>
      </c>
      <c r="M1681" s="3">
        <v>13612.992</v>
      </c>
      <c r="N1681" s="3">
        <v>13612.992</v>
      </c>
      <c r="O1681" s="4">
        <v>2.3454000000000002</v>
      </c>
      <c r="P1681" s="4">
        <v>22.0992</v>
      </c>
      <c r="Q1681" s="4">
        <v>0</v>
      </c>
      <c r="R1681" s="5">
        <v>1.6999999999999999E-3</v>
      </c>
      <c r="S1681">
        <v>14</v>
      </c>
      <c r="T1681" t="b">
        <v>0</v>
      </c>
      <c r="U1681">
        <v>13</v>
      </c>
      <c r="V1681" s="4">
        <v>394.53</v>
      </c>
    </row>
    <row r="1682" spans="1:22" x14ac:dyDescent="0.35">
      <c r="A1682" t="s">
        <v>28</v>
      </c>
      <c r="B1682">
        <v>3</v>
      </c>
      <c r="C1682">
        <v>1</v>
      </c>
      <c r="D1682">
        <v>2</v>
      </c>
      <c r="E1682" t="s">
        <v>29</v>
      </c>
      <c r="F1682">
        <v>50</v>
      </c>
      <c r="G1682">
        <v>1</v>
      </c>
      <c r="H1682">
        <v>20</v>
      </c>
      <c r="I1682" t="s">
        <v>26</v>
      </c>
      <c r="J1682" s="3">
        <v>163.94480799999999</v>
      </c>
      <c r="K1682" s="3">
        <v>19286.454000000002</v>
      </c>
      <c r="L1682" s="3">
        <v>19286.454000000002</v>
      </c>
      <c r="M1682" s="3">
        <v>19286.454000000002</v>
      </c>
      <c r="N1682" s="3">
        <v>17329.107</v>
      </c>
      <c r="O1682" s="4">
        <v>11.2951</v>
      </c>
      <c r="P1682" s="4">
        <v>11.2951</v>
      </c>
      <c r="Q1682" s="4">
        <v>11.2951</v>
      </c>
      <c r="R1682" s="5">
        <v>5.9999999999999995E-4</v>
      </c>
      <c r="S1682">
        <v>3</v>
      </c>
      <c r="T1682" t="b">
        <v>0</v>
      </c>
      <c r="U1682">
        <v>3</v>
      </c>
      <c r="V1682" s="4">
        <v>29.02</v>
      </c>
    </row>
    <row r="1683" spans="1:22" x14ac:dyDescent="0.35">
      <c r="A1683" t="s">
        <v>28</v>
      </c>
      <c r="B1683">
        <v>3</v>
      </c>
      <c r="C1683">
        <v>1</v>
      </c>
      <c r="D1683">
        <v>2</v>
      </c>
      <c r="E1683" t="s">
        <v>29</v>
      </c>
      <c r="F1683">
        <v>50</v>
      </c>
      <c r="G1683">
        <v>3</v>
      </c>
      <c r="H1683">
        <v>20</v>
      </c>
      <c r="I1683" t="s">
        <v>26</v>
      </c>
      <c r="J1683" s="3">
        <v>163.94480799999999</v>
      </c>
      <c r="K1683" s="3">
        <v>19286.454000000002</v>
      </c>
      <c r="L1683" s="3">
        <v>19286.454000000002</v>
      </c>
      <c r="M1683" s="3">
        <v>19286.454000000002</v>
      </c>
      <c r="N1683" s="3">
        <v>17329.107</v>
      </c>
      <c r="O1683" s="4">
        <v>11.2951</v>
      </c>
      <c r="P1683" s="4">
        <v>11.2951</v>
      </c>
      <c r="Q1683" s="4">
        <v>11.2951</v>
      </c>
      <c r="R1683" s="5">
        <v>5.9999999999999995E-4</v>
      </c>
      <c r="S1683">
        <v>3</v>
      </c>
      <c r="T1683" t="b">
        <v>0</v>
      </c>
      <c r="U1683">
        <v>3</v>
      </c>
      <c r="V1683" s="4">
        <v>86.33</v>
      </c>
    </row>
    <row r="1684" spans="1:22" x14ac:dyDescent="0.35">
      <c r="A1684" t="s">
        <v>28</v>
      </c>
      <c r="B1684">
        <v>3</v>
      </c>
      <c r="C1684">
        <v>1</v>
      </c>
      <c r="D1684">
        <v>2</v>
      </c>
      <c r="E1684" t="s">
        <v>29</v>
      </c>
      <c r="F1684">
        <v>200</v>
      </c>
      <c r="G1684">
        <v>1</v>
      </c>
      <c r="H1684">
        <v>20</v>
      </c>
      <c r="I1684" t="s">
        <v>26</v>
      </c>
      <c r="J1684" s="3">
        <v>164.00233499999999</v>
      </c>
      <c r="K1684" s="3">
        <v>20408.087</v>
      </c>
      <c r="L1684" s="3">
        <v>20408.087</v>
      </c>
      <c r="M1684" s="3">
        <v>20408.087</v>
      </c>
      <c r="N1684" s="3">
        <v>17329.107</v>
      </c>
      <c r="O1684" s="4">
        <v>17.767700000000001</v>
      </c>
      <c r="P1684" s="4">
        <v>17.767700000000001</v>
      </c>
      <c r="Q1684" s="4">
        <v>17.767700000000001</v>
      </c>
      <c r="R1684" s="5">
        <v>2.0000000000000001E-4</v>
      </c>
      <c r="S1684">
        <v>2</v>
      </c>
      <c r="T1684" t="b">
        <v>0</v>
      </c>
      <c r="U1684">
        <v>1</v>
      </c>
      <c r="V1684" s="4">
        <v>85.53</v>
      </c>
    </row>
    <row r="1685" spans="1:22" x14ac:dyDescent="0.35">
      <c r="A1685" t="s">
        <v>28</v>
      </c>
      <c r="B1685">
        <v>3</v>
      </c>
      <c r="C1685">
        <v>1</v>
      </c>
      <c r="D1685">
        <v>2</v>
      </c>
      <c r="E1685" t="s">
        <v>29</v>
      </c>
      <c r="F1685">
        <v>200</v>
      </c>
      <c r="G1685">
        <v>3</v>
      </c>
      <c r="H1685">
        <v>20</v>
      </c>
      <c r="I1685" t="s">
        <v>26</v>
      </c>
      <c r="J1685" s="3">
        <v>164.00233499999999</v>
      </c>
      <c r="K1685" s="3">
        <v>20408.087</v>
      </c>
      <c r="L1685" s="3">
        <v>20408.087</v>
      </c>
      <c r="M1685" s="3">
        <v>20408.087</v>
      </c>
      <c r="N1685" s="3">
        <v>17329.107</v>
      </c>
      <c r="O1685" s="4">
        <v>17.767700000000001</v>
      </c>
      <c r="P1685" s="4">
        <v>17.767700000000001</v>
      </c>
      <c r="Q1685" s="4">
        <v>17.767700000000001</v>
      </c>
      <c r="R1685" s="5">
        <v>2.0000000000000001E-4</v>
      </c>
      <c r="S1685">
        <v>2</v>
      </c>
      <c r="T1685" t="b">
        <v>0</v>
      </c>
      <c r="U1685">
        <v>1</v>
      </c>
      <c r="V1685" s="4">
        <v>255.78</v>
      </c>
    </row>
    <row r="1686" spans="1:22" x14ac:dyDescent="0.35">
      <c r="A1686" t="s">
        <v>28</v>
      </c>
      <c r="B1686">
        <v>3</v>
      </c>
      <c r="C1686">
        <v>1</v>
      </c>
      <c r="D1686">
        <v>5</v>
      </c>
      <c r="E1686" t="s">
        <v>29</v>
      </c>
      <c r="F1686">
        <v>50</v>
      </c>
      <c r="G1686">
        <v>1</v>
      </c>
      <c r="H1686">
        <v>20</v>
      </c>
      <c r="I1686" t="s">
        <v>26</v>
      </c>
      <c r="J1686" s="3">
        <v>392.353545</v>
      </c>
      <c r="K1686" s="3">
        <v>19286.454000000002</v>
      </c>
      <c r="L1686" s="3">
        <v>19286.454000000002</v>
      </c>
      <c r="M1686" s="3">
        <v>19286.454000000002</v>
      </c>
      <c r="N1686" s="3">
        <v>17329.107</v>
      </c>
      <c r="O1686" s="4">
        <v>11.2951</v>
      </c>
      <c r="P1686" s="4">
        <v>11.2951</v>
      </c>
      <c r="Q1686" s="4">
        <v>11.2951</v>
      </c>
      <c r="R1686" s="5">
        <v>1E-4</v>
      </c>
      <c r="S1686">
        <v>1</v>
      </c>
      <c r="T1686" t="b">
        <v>0</v>
      </c>
      <c r="U1686">
        <v>1</v>
      </c>
      <c r="V1686" s="4">
        <v>29.29</v>
      </c>
    </row>
    <row r="1687" spans="1:22" x14ac:dyDescent="0.35">
      <c r="A1687" t="s">
        <v>28</v>
      </c>
      <c r="B1687">
        <v>3</v>
      </c>
      <c r="C1687">
        <v>1</v>
      </c>
      <c r="D1687">
        <v>5</v>
      </c>
      <c r="E1687" t="s">
        <v>29</v>
      </c>
      <c r="F1687">
        <v>50</v>
      </c>
      <c r="G1687">
        <v>3</v>
      </c>
      <c r="H1687">
        <v>20</v>
      </c>
      <c r="I1687" t="s">
        <v>26</v>
      </c>
      <c r="J1687" s="3">
        <v>392.353545</v>
      </c>
      <c r="K1687" s="3">
        <v>19286.454000000002</v>
      </c>
      <c r="L1687" s="3">
        <v>19286.454000000002</v>
      </c>
      <c r="M1687" s="3">
        <v>19286.454000000002</v>
      </c>
      <c r="N1687" s="3">
        <v>17329.107</v>
      </c>
      <c r="O1687" s="4">
        <v>11.2951</v>
      </c>
      <c r="P1687" s="4">
        <v>11.2951</v>
      </c>
      <c r="Q1687" s="4">
        <v>11.2951</v>
      </c>
      <c r="R1687" s="5">
        <v>1E-4</v>
      </c>
      <c r="S1687">
        <v>1</v>
      </c>
      <c r="T1687" t="b">
        <v>0</v>
      </c>
      <c r="U1687">
        <v>1</v>
      </c>
      <c r="V1687" s="4">
        <v>85.64</v>
      </c>
    </row>
    <row r="1688" spans="1:22" x14ac:dyDescent="0.35">
      <c r="A1688" t="s">
        <v>28</v>
      </c>
      <c r="B1688">
        <v>3</v>
      </c>
      <c r="C1688">
        <v>1</v>
      </c>
      <c r="D1688">
        <v>5</v>
      </c>
      <c r="E1688" t="s">
        <v>29</v>
      </c>
      <c r="F1688">
        <v>200</v>
      </c>
      <c r="G1688">
        <v>1</v>
      </c>
      <c r="H1688">
        <v>20</v>
      </c>
      <c r="I1688" t="s">
        <v>26</v>
      </c>
      <c r="J1688" s="3">
        <v>394.687005</v>
      </c>
      <c r="K1688" s="3">
        <v>18418.167000000001</v>
      </c>
      <c r="L1688" s="3">
        <v>18418.167000000001</v>
      </c>
      <c r="M1688" s="3">
        <v>18418.167000000001</v>
      </c>
      <c r="N1688" s="3">
        <v>17329.107</v>
      </c>
      <c r="O1688" s="4">
        <v>6.2846000000000002</v>
      </c>
      <c r="P1688" s="4">
        <v>6.2846000000000002</v>
      </c>
      <c r="Q1688" s="4">
        <v>6.2846000000000002</v>
      </c>
      <c r="R1688" s="5">
        <v>4.0000000000000002E-4</v>
      </c>
      <c r="S1688">
        <v>4</v>
      </c>
      <c r="T1688" t="b">
        <v>0</v>
      </c>
      <c r="U1688">
        <v>1</v>
      </c>
      <c r="V1688" s="4">
        <v>86.17</v>
      </c>
    </row>
    <row r="1689" spans="1:22" x14ac:dyDescent="0.35">
      <c r="A1689" t="s">
        <v>28</v>
      </c>
      <c r="B1689">
        <v>3</v>
      </c>
      <c r="C1689">
        <v>1</v>
      </c>
      <c r="D1689">
        <v>5</v>
      </c>
      <c r="E1689" t="s">
        <v>29</v>
      </c>
      <c r="F1689">
        <v>200</v>
      </c>
      <c r="G1689">
        <v>3</v>
      </c>
      <c r="H1689">
        <v>20</v>
      </c>
      <c r="I1689" t="s">
        <v>26</v>
      </c>
      <c r="J1689" s="3">
        <v>394.687005</v>
      </c>
      <c r="K1689" s="3">
        <v>18418.167000000001</v>
      </c>
      <c r="L1689" s="3">
        <v>18418.167000000001</v>
      </c>
      <c r="M1689" s="3">
        <v>18418.167000000001</v>
      </c>
      <c r="N1689" s="3">
        <v>17329.107</v>
      </c>
      <c r="O1689" s="4">
        <v>6.2846000000000002</v>
      </c>
      <c r="P1689" s="4">
        <v>6.2846000000000002</v>
      </c>
      <c r="Q1689" s="4">
        <v>6.2846000000000002</v>
      </c>
      <c r="R1689" s="5">
        <v>4.0000000000000002E-4</v>
      </c>
      <c r="S1689">
        <v>4</v>
      </c>
      <c r="T1689" t="b">
        <v>0</v>
      </c>
      <c r="U1689">
        <v>1</v>
      </c>
      <c r="V1689" s="4">
        <v>256.49</v>
      </c>
    </row>
    <row r="1690" spans="1:22" x14ac:dyDescent="0.35">
      <c r="A1690" t="s">
        <v>28</v>
      </c>
      <c r="B1690">
        <v>3</v>
      </c>
      <c r="C1690">
        <v>1</v>
      </c>
      <c r="D1690">
        <v>10</v>
      </c>
      <c r="E1690" t="s">
        <v>29</v>
      </c>
      <c r="F1690">
        <v>50</v>
      </c>
      <c r="G1690">
        <v>1</v>
      </c>
      <c r="H1690">
        <v>20</v>
      </c>
      <c r="I1690" t="s">
        <v>26</v>
      </c>
      <c r="J1690" s="3">
        <v>796.904044</v>
      </c>
      <c r="K1690" s="3">
        <v>17329.107</v>
      </c>
      <c r="L1690" s="3">
        <v>18737.439999999999</v>
      </c>
      <c r="M1690" s="3">
        <v>17329.107</v>
      </c>
      <c r="N1690" s="3">
        <v>17329.107</v>
      </c>
      <c r="O1690" s="4">
        <v>0</v>
      </c>
      <c r="P1690" s="4">
        <v>8.1270000000000007</v>
      </c>
      <c r="Q1690" s="4">
        <v>0</v>
      </c>
      <c r="R1690" s="5">
        <v>2.9999999999999997E-4</v>
      </c>
      <c r="S1690">
        <v>2</v>
      </c>
      <c r="T1690" t="b">
        <v>0</v>
      </c>
      <c r="U1690">
        <v>2</v>
      </c>
      <c r="V1690" s="4">
        <v>29.31</v>
      </c>
    </row>
    <row r="1691" spans="1:22" x14ac:dyDescent="0.35">
      <c r="A1691" t="s">
        <v>28</v>
      </c>
      <c r="B1691">
        <v>3</v>
      </c>
      <c r="C1691">
        <v>1</v>
      </c>
      <c r="D1691">
        <v>10</v>
      </c>
      <c r="E1691" t="s">
        <v>29</v>
      </c>
      <c r="F1691">
        <v>50</v>
      </c>
      <c r="G1691">
        <v>3</v>
      </c>
      <c r="H1691">
        <v>20</v>
      </c>
      <c r="I1691" t="s">
        <v>26</v>
      </c>
      <c r="J1691" s="3">
        <v>796.904044</v>
      </c>
      <c r="K1691" s="3">
        <v>17329.107</v>
      </c>
      <c r="L1691" s="3">
        <v>18737.439999999999</v>
      </c>
      <c r="M1691" s="3">
        <v>17329.107</v>
      </c>
      <c r="N1691" s="3">
        <v>17329.107</v>
      </c>
      <c r="O1691" s="4">
        <v>0</v>
      </c>
      <c r="P1691" s="4">
        <v>8.1270000000000007</v>
      </c>
      <c r="Q1691" s="4">
        <v>0</v>
      </c>
      <c r="R1691" s="5">
        <v>2.9999999999999997E-4</v>
      </c>
      <c r="S1691">
        <v>2</v>
      </c>
      <c r="T1691" t="b">
        <v>0</v>
      </c>
      <c r="U1691">
        <v>2</v>
      </c>
      <c r="V1691" s="4">
        <v>85.84</v>
      </c>
    </row>
    <row r="1692" spans="1:22" x14ac:dyDescent="0.35">
      <c r="A1692" t="s">
        <v>28</v>
      </c>
      <c r="B1692">
        <v>3</v>
      </c>
      <c r="C1692">
        <v>1</v>
      </c>
      <c r="D1692">
        <v>10</v>
      </c>
      <c r="E1692" t="s">
        <v>29</v>
      </c>
      <c r="F1692">
        <v>200</v>
      </c>
      <c r="G1692">
        <v>1</v>
      </c>
      <c r="H1692">
        <v>20</v>
      </c>
      <c r="I1692" t="s">
        <v>26</v>
      </c>
      <c r="J1692" s="3">
        <v>792.99011700000005</v>
      </c>
      <c r="K1692" s="3">
        <v>18737.439999999999</v>
      </c>
      <c r="L1692" s="3">
        <v>19286.454000000002</v>
      </c>
      <c r="M1692" s="3">
        <v>18737.439999999999</v>
      </c>
      <c r="N1692" s="3">
        <v>17329.107</v>
      </c>
      <c r="O1692" s="4">
        <v>8.1270000000000007</v>
      </c>
      <c r="P1692" s="4">
        <v>11.2951</v>
      </c>
      <c r="Q1692" s="4">
        <v>8.1270000000000007</v>
      </c>
      <c r="R1692" s="5">
        <v>5.0000000000000001E-4</v>
      </c>
      <c r="S1692">
        <v>5</v>
      </c>
      <c r="T1692" t="b">
        <v>0</v>
      </c>
      <c r="U1692">
        <v>4</v>
      </c>
      <c r="V1692" s="4">
        <v>85.85</v>
      </c>
    </row>
    <row r="1693" spans="1:22" x14ac:dyDescent="0.35">
      <c r="A1693" t="s">
        <v>28</v>
      </c>
      <c r="B1693">
        <v>3</v>
      </c>
      <c r="C1693">
        <v>1</v>
      </c>
      <c r="D1693">
        <v>10</v>
      </c>
      <c r="E1693" t="s">
        <v>29</v>
      </c>
      <c r="F1693">
        <v>200</v>
      </c>
      <c r="G1693">
        <v>3</v>
      </c>
      <c r="H1693">
        <v>20</v>
      </c>
      <c r="I1693" t="s">
        <v>26</v>
      </c>
      <c r="J1693" s="3">
        <v>792.99011700000005</v>
      </c>
      <c r="K1693" s="3">
        <v>18737.439999999999</v>
      </c>
      <c r="L1693" s="3">
        <v>19286.454000000002</v>
      </c>
      <c r="M1693" s="3">
        <v>18737.439999999999</v>
      </c>
      <c r="N1693" s="3">
        <v>17329.107</v>
      </c>
      <c r="O1693" s="4">
        <v>8.1270000000000007</v>
      </c>
      <c r="P1693" s="4">
        <v>11.2951</v>
      </c>
      <c r="Q1693" s="4">
        <v>8.1270000000000007</v>
      </c>
      <c r="R1693" s="5">
        <v>5.0000000000000001E-4</v>
      </c>
      <c r="S1693">
        <v>5</v>
      </c>
      <c r="T1693" t="b">
        <v>0</v>
      </c>
      <c r="U1693">
        <v>4</v>
      </c>
      <c r="V1693" s="4">
        <v>256.52999999999997</v>
      </c>
    </row>
    <row r="1694" spans="1:22" x14ac:dyDescent="0.35">
      <c r="A1694" t="s">
        <v>28</v>
      </c>
      <c r="B1694">
        <v>3</v>
      </c>
      <c r="C1694">
        <v>3</v>
      </c>
      <c r="D1694">
        <v>2</v>
      </c>
      <c r="E1694" t="s">
        <v>29</v>
      </c>
      <c r="F1694">
        <v>50</v>
      </c>
      <c r="G1694">
        <v>1</v>
      </c>
      <c r="H1694">
        <v>20</v>
      </c>
      <c r="I1694" t="s">
        <v>26</v>
      </c>
      <c r="J1694" s="3">
        <v>163.44063499999999</v>
      </c>
      <c r="K1694" s="3" t="s">
        <v>24</v>
      </c>
      <c r="L1694" s="3" t="s">
        <v>24</v>
      </c>
      <c r="M1694" s="3" t="s">
        <v>24</v>
      </c>
      <c r="N1694" s="3">
        <v>17329.107</v>
      </c>
      <c r="O1694" s="4"/>
      <c r="P1694" s="4"/>
      <c r="Q1694" s="4"/>
      <c r="R1694" s="5">
        <v>0</v>
      </c>
      <c r="S1694">
        <v>0</v>
      </c>
      <c r="T1694" t="b">
        <v>1</v>
      </c>
      <c r="U1694">
        <v>-1</v>
      </c>
      <c r="V1694" s="4">
        <v>45.12</v>
      </c>
    </row>
    <row r="1695" spans="1:22" x14ac:dyDescent="0.35">
      <c r="A1695" t="s">
        <v>28</v>
      </c>
      <c r="B1695">
        <v>3</v>
      </c>
      <c r="C1695">
        <v>3</v>
      </c>
      <c r="D1695">
        <v>2</v>
      </c>
      <c r="E1695" t="s">
        <v>29</v>
      </c>
      <c r="F1695">
        <v>50</v>
      </c>
      <c r="G1695">
        <v>3</v>
      </c>
      <c r="H1695">
        <v>20</v>
      </c>
      <c r="I1695" t="s">
        <v>26</v>
      </c>
      <c r="J1695" s="3">
        <v>163.44063499999999</v>
      </c>
      <c r="K1695" s="3" t="s">
        <v>24</v>
      </c>
      <c r="L1695" s="3" t="s">
        <v>24</v>
      </c>
      <c r="M1695" s="3" t="s">
        <v>24</v>
      </c>
      <c r="N1695" s="3">
        <v>17329.107</v>
      </c>
      <c r="O1695" s="4"/>
      <c r="P1695" s="4"/>
      <c r="Q1695" s="4"/>
      <c r="R1695" s="5">
        <v>0</v>
      </c>
      <c r="S1695">
        <v>0</v>
      </c>
      <c r="T1695" t="b">
        <v>1</v>
      </c>
      <c r="U1695">
        <v>-1</v>
      </c>
      <c r="V1695" s="4">
        <v>133.15</v>
      </c>
    </row>
    <row r="1696" spans="1:22" x14ac:dyDescent="0.35">
      <c r="A1696" t="s">
        <v>28</v>
      </c>
      <c r="B1696">
        <v>3</v>
      </c>
      <c r="C1696">
        <v>3</v>
      </c>
      <c r="D1696">
        <v>2</v>
      </c>
      <c r="E1696" t="s">
        <v>29</v>
      </c>
      <c r="F1696">
        <v>200</v>
      </c>
      <c r="G1696">
        <v>1</v>
      </c>
      <c r="H1696">
        <v>20</v>
      </c>
      <c r="I1696" t="s">
        <v>26</v>
      </c>
      <c r="J1696" s="3">
        <v>166.778582</v>
      </c>
      <c r="K1696" s="3" t="s">
        <v>24</v>
      </c>
      <c r="L1696" s="3" t="s">
        <v>24</v>
      </c>
      <c r="M1696" s="3" t="s">
        <v>24</v>
      </c>
      <c r="N1696" s="3">
        <v>17329.107</v>
      </c>
      <c r="O1696" s="4"/>
      <c r="P1696" s="4"/>
      <c r="Q1696" s="4"/>
      <c r="R1696" s="5">
        <v>0</v>
      </c>
      <c r="S1696">
        <v>0</v>
      </c>
      <c r="T1696" t="b">
        <v>1</v>
      </c>
      <c r="U1696">
        <v>-1</v>
      </c>
      <c r="V1696" s="4">
        <v>132.08000000000001</v>
      </c>
    </row>
    <row r="1697" spans="1:22" x14ac:dyDescent="0.35">
      <c r="A1697" t="s">
        <v>28</v>
      </c>
      <c r="B1697">
        <v>3</v>
      </c>
      <c r="C1697">
        <v>3</v>
      </c>
      <c r="D1697">
        <v>2</v>
      </c>
      <c r="E1697" t="s">
        <v>29</v>
      </c>
      <c r="F1697">
        <v>200</v>
      </c>
      <c r="G1697">
        <v>3</v>
      </c>
      <c r="H1697">
        <v>20</v>
      </c>
      <c r="I1697" t="s">
        <v>26</v>
      </c>
      <c r="J1697" s="3">
        <v>163.23397299999999</v>
      </c>
      <c r="K1697" s="3" t="s">
        <v>24</v>
      </c>
      <c r="L1697" s="3" t="s">
        <v>24</v>
      </c>
      <c r="M1697" s="3" t="s">
        <v>24</v>
      </c>
      <c r="N1697" s="3">
        <v>17329.107</v>
      </c>
      <c r="O1697" s="4"/>
      <c r="P1697" s="4"/>
      <c r="Q1697" s="4"/>
      <c r="R1697" s="5">
        <v>0</v>
      </c>
      <c r="S1697">
        <v>0</v>
      </c>
      <c r="T1697" t="b">
        <v>1</v>
      </c>
      <c r="U1697">
        <v>-1</v>
      </c>
      <c r="V1697" s="4">
        <v>396.55</v>
      </c>
    </row>
    <row r="1698" spans="1:22" x14ac:dyDescent="0.35">
      <c r="A1698" t="s">
        <v>28</v>
      </c>
      <c r="B1698">
        <v>3</v>
      </c>
      <c r="C1698">
        <v>3</v>
      </c>
      <c r="D1698">
        <v>5</v>
      </c>
      <c r="E1698" t="s">
        <v>29</v>
      </c>
      <c r="F1698">
        <v>50</v>
      </c>
      <c r="G1698">
        <v>1</v>
      </c>
      <c r="H1698">
        <v>20</v>
      </c>
      <c r="I1698" t="s">
        <v>26</v>
      </c>
      <c r="J1698" s="3">
        <v>399.08680299999997</v>
      </c>
      <c r="K1698" s="3" t="s">
        <v>24</v>
      </c>
      <c r="L1698" s="3" t="s">
        <v>24</v>
      </c>
      <c r="M1698" s="3" t="s">
        <v>24</v>
      </c>
      <c r="N1698" s="3">
        <v>17329.107</v>
      </c>
      <c r="O1698" s="4"/>
      <c r="P1698" s="4"/>
      <c r="Q1698" s="4"/>
      <c r="R1698" s="5">
        <v>0</v>
      </c>
      <c r="S1698">
        <v>0</v>
      </c>
      <c r="T1698" t="b">
        <v>1</v>
      </c>
      <c r="U1698">
        <v>-1</v>
      </c>
      <c r="V1698" s="4">
        <v>44.92</v>
      </c>
    </row>
    <row r="1699" spans="1:22" x14ac:dyDescent="0.35">
      <c r="A1699" t="s">
        <v>28</v>
      </c>
      <c r="B1699">
        <v>3</v>
      </c>
      <c r="C1699">
        <v>3</v>
      </c>
      <c r="D1699">
        <v>5</v>
      </c>
      <c r="E1699" t="s">
        <v>29</v>
      </c>
      <c r="F1699">
        <v>50</v>
      </c>
      <c r="G1699">
        <v>3</v>
      </c>
      <c r="H1699">
        <v>20</v>
      </c>
      <c r="I1699" t="s">
        <v>26</v>
      </c>
      <c r="J1699" s="3">
        <v>387.919085</v>
      </c>
      <c r="K1699" s="3">
        <v>17329.107</v>
      </c>
      <c r="L1699" s="3">
        <v>17329.107</v>
      </c>
      <c r="M1699" s="3">
        <v>17329.107</v>
      </c>
      <c r="N1699" s="3">
        <v>17329.107</v>
      </c>
      <c r="O1699" s="4">
        <v>0</v>
      </c>
      <c r="P1699" s="4">
        <v>0</v>
      </c>
      <c r="Q1699" s="4">
        <v>0</v>
      </c>
      <c r="R1699" s="5">
        <v>1E-4</v>
      </c>
      <c r="S1699">
        <v>1</v>
      </c>
      <c r="T1699" t="b">
        <v>0</v>
      </c>
      <c r="U1699">
        <v>1</v>
      </c>
      <c r="V1699" s="4">
        <v>133.16999999999999</v>
      </c>
    </row>
    <row r="1700" spans="1:22" x14ac:dyDescent="0.35">
      <c r="A1700" t="s">
        <v>28</v>
      </c>
      <c r="B1700">
        <v>3</v>
      </c>
      <c r="C1700">
        <v>3</v>
      </c>
      <c r="D1700">
        <v>5</v>
      </c>
      <c r="E1700" t="s">
        <v>29</v>
      </c>
      <c r="F1700">
        <v>200</v>
      </c>
      <c r="G1700">
        <v>1</v>
      </c>
      <c r="H1700">
        <v>20</v>
      </c>
      <c r="I1700" t="s">
        <v>26</v>
      </c>
      <c r="J1700" s="3">
        <v>408.67175600000002</v>
      </c>
      <c r="K1700" s="3">
        <v>18418.167000000001</v>
      </c>
      <c r="L1700" s="3">
        <v>18737.439999999999</v>
      </c>
      <c r="M1700" s="3">
        <v>18418.167000000001</v>
      </c>
      <c r="N1700" s="3">
        <v>17329.107</v>
      </c>
      <c r="O1700" s="4">
        <v>6.2846000000000002</v>
      </c>
      <c r="P1700" s="4">
        <v>8.1270000000000007</v>
      </c>
      <c r="Q1700" s="4">
        <v>6.2846000000000002</v>
      </c>
      <c r="R1700" s="5">
        <v>5.0000000000000001E-4</v>
      </c>
      <c r="S1700">
        <v>4</v>
      </c>
      <c r="T1700" t="b">
        <v>0</v>
      </c>
      <c r="U1700">
        <v>3</v>
      </c>
      <c r="V1700" s="4">
        <v>132.81</v>
      </c>
    </row>
    <row r="1701" spans="1:22" x14ac:dyDescent="0.35">
      <c r="A1701" t="s">
        <v>28</v>
      </c>
      <c r="B1701">
        <v>3</v>
      </c>
      <c r="C1701">
        <v>3</v>
      </c>
      <c r="D1701">
        <v>5</v>
      </c>
      <c r="E1701" t="s">
        <v>29</v>
      </c>
      <c r="F1701">
        <v>200</v>
      </c>
      <c r="G1701">
        <v>3</v>
      </c>
      <c r="H1701">
        <v>20</v>
      </c>
      <c r="I1701" t="s">
        <v>26</v>
      </c>
      <c r="J1701" s="3">
        <v>52.456330000000001</v>
      </c>
      <c r="K1701" s="3">
        <v>17329.107</v>
      </c>
      <c r="L1701" s="3">
        <v>20408.087</v>
      </c>
      <c r="M1701" s="3">
        <v>17329.107</v>
      </c>
      <c r="N1701" s="3">
        <v>17329.107</v>
      </c>
      <c r="O1701" s="4">
        <v>0</v>
      </c>
      <c r="P1701" s="4">
        <v>17.767700000000001</v>
      </c>
      <c r="Q1701" s="4">
        <v>0</v>
      </c>
      <c r="R1701" s="5">
        <v>0.20269999999999999</v>
      </c>
      <c r="S1701">
        <v>12</v>
      </c>
      <c r="T1701" t="b">
        <v>0</v>
      </c>
      <c r="U1701">
        <v>9</v>
      </c>
      <c r="V1701" s="4">
        <v>392.37</v>
      </c>
    </row>
    <row r="1702" spans="1:22" x14ac:dyDescent="0.35">
      <c r="A1702" t="s">
        <v>28</v>
      </c>
      <c r="B1702">
        <v>3</v>
      </c>
      <c r="C1702">
        <v>3</v>
      </c>
      <c r="D1702">
        <v>10</v>
      </c>
      <c r="E1702" t="s">
        <v>29</v>
      </c>
      <c r="F1702">
        <v>50</v>
      </c>
      <c r="G1702">
        <v>1</v>
      </c>
      <c r="H1702">
        <v>20</v>
      </c>
      <c r="I1702" t="s">
        <v>26</v>
      </c>
      <c r="J1702" s="3">
        <v>810.10233300000004</v>
      </c>
      <c r="K1702" s="3">
        <v>17329.107</v>
      </c>
      <c r="L1702" s="3">
        <v>17329.107</v>
      </c>
      <c r="M1702" s="3">
        <v>17329.107</v>
      </c>
      <c r="N1702" s="3">
        <v>17329.107</v>
      </c>
      <c r="O1702" s="4">
        <v>0</v>
      </c>
      <c r="P1702" s="4">
        <v>0</v>
      </c>
      <c r="Q1702" s="4">
        <v>0</v>
      </c>
      <c r="R1702" s="5">
        <v>1E-4</v>
      </c>
      <c r="S1702">
        <v>1</v>
      </c>
      <c r="T1702" t="b">
        <v>0</v>
      </c>
      <c r="U1702">
        <v>1</v>
      </c>
      <c r="V1702" s="4">
        <v>44.96</v>
      </c>
    </row>
    <row r="1703" spans="1:22" x14ac:dyDescent="0.35">
      <c r="A1703" t="s">
        <v>28</v>
      </c>
      <c r="B1703">
        <v>3</v>
      </c>
      <c r="C1703">
        <v>3</v>
      </c>
      <c r="D1703">
        <v>10</v>
      </c>
      <c r="E1703" t="s">
        <v>29</v>
      </c>
      <c r="F1703">
        <v>50</v>
      </c>
      <c r="G1703">
        <v>3</v>
      </c>
      <c r="H1703">
        <v>20</v>
      </c>
      <c r="I1703" t="s">
        <v>26</v>
      </c>
      <c r="J1703" s="3">
        <v>683.27113199999997</v>
      </c>
      <c r="K1703" s="3">
        <v>17329.107</v>
      </c>
      <c r="L1703" s="3">
        <v>19286.454000000002</v>
      </c>
      <c r="M1703" s="3">
        <v>17329.107</v>
      </c>
      <c r="N1703" s="3">
        <v>17329.107</v>
      </c>
      <c r="O1703" s="4">
        <v>0</v>
      </c>
      <c r="P1703" s="4">
        <v>11.2951</v>
      </c>
      <c r="Q1703" s="4">
        <v>0</v>
      </c>
      <c r="R1703" s="5">
        <v>1E-3</v>
      </c>
      <c r="S1703">
        <v>8</v>
      </c>
      <c r="T1703" t="b">
        <v>0</v>
      </c>
      <c r="U1703">
        <v>6</v>
      </c>
      <c r="V1703" s="4">
        <v>133.5</v>
      </c>
    </row>
    <row r="1704" spans="1:22" x14ac:dyDescent="0.35">
      <c r="A1704" t="s">
        <v>28</v>
      </c>
      <c r="B1704">
        <v>3</v>
      </c>
      <c r="C1704">
        <v>3</v>
      </c>
      <c r="D1704">
        <v>10</v>
      </c>
      <c r="E1704" t="s">
        <v>29</v>
      </c>
      <c r="F1704">
        <v>200</v>
      </c>
      <c r="G1704">
        <v>1</v>
      </c>
      <c r="H1704">
        <v>20</v>
      </c>
      <c r="I1704" t="s">
        <v>26</v>
      </c>
      <c r="J1704" s="3">
        <v>805.10013800000002</v>
      </c>
      <c r="K1704" s="3" t="s">
        <v>24</v>
      </c>
      <c r="L1704" s="3" t="s">
        <v>24</v>
      </c>
      <c r="M1704" s="3" t="s">
        <v>24</v>
      </c>
      <c r="N1704" s="3">
        <v>17329.107</v>
      </c>
      <c r="O1704" s="4"/>
      <c r="P1704" s="4"/>
      <c r="Q1704" s="4"/>
      <c r="R1704" s="5">
        <v>0</v>
      </c>
      <c r="S1704">
        <v>0</v>
      </c>
      <c r="T1704" t="b">
        <v>1</v>
      </c>
      <c r="U1704">
        <v>-1</v>
      </c>
      <c r="V1704" s="4">
        <v>132.19</v>
      </c>
    </row>
    <row r="1705" spans="1:22" x14ac:dyDescent="0.35">
      <c r="A1705" t="s">
        <v>28</v>
      </c>
      <c r="B1705">
        <v>3</v>
      </c>
      <c r="C1705">
        <v>3</v>
      </c>
      <c r="D1705">
        <v>10</v>
      </c>
      <c r="E1705" t="s">
        <v>29</v>
      </c>
      <c r="F1705">
        <v>200</v>
      </c>
      <c r="G1705">
        <v>3</v>
      </c>
      <c r="H1705">
        <v>20</v>
      </c>
      <c r="I1705" t="s">
        <v>26</v>
      </c>
      <c r="J1705" s="3">
        <v>140.06751700000001</v>
      </c>
      <c r="K1705" s="3">
        <v>17329.107</v>
      </c>
      <c r="L1705" s="3">
        <v>20408.087</v>
      </c>
      <c r="M1705" s="3">
        <v>17329.107</v>
      </c>
      <c r="N1705" s="3">
        <v>17329.107</v>
      </c>
      <c r="O1705" s="4">
        <v>0</v>
      </c>
      <c r="P1705" s="4">
        <v>17.767700000000001</v>
      </c>
      <c r="Q1705" s="4">
        <v>0</v>
      </c>
      <c r="R1705" s="5">
        <v>5.3100000000000001E-2</v>
      </c>
      <c r="S1705">
        <v>12</v>
      </c>
      <c r="T1705" t="b">
        <v>0</v>
      </c>
      <c r="U1705">
        <v>8</v>
      </c>
      <c r="V1705" s="4">
        <v>392.5</v>
      </c>
    </row>
    <row r="1706" spans="1:22" x14ac:dyDescent="0.35">
      <c r="A1706" t="s">
        <v>28</v>
      </c>
      <c r="B1706">
        <v>4</v>
      </c>
      <c r="C1706">
        <v>1</v>
      </c>
      <c r="D1706">
        <v>2</v>
      </c>
      <c r="E1706" t="s">
        <v>29</v>
      </c>
      <c r="F1706">
        <v>50</v>
      </c>
      <c r="G1706">
        <v>1</v>
      </c>
      <c r="H1706">
        <v>20</v>
      </c>
      <c r="I1706" t="s">
        <v>26</v>
      </c>
      <c r="J1706" s="3">
        <v>214.58985999999999</v>
      </c>
      <c r="K1706" s="3" t="s">
        <v>24</v>
      </c>
      <c r="L1706" s="3" t="s">
        <v>24</v>
      </c>
      <c r="M1706" s="3" t="s">
        <v>24</v>
      </c>
      <c r="N1706" s="3">
        <v>22134.281999999999</v>
      </c>
      <c r="O1706" s="4"/>
      <c r="P1706" s="4"/>
      <c r="Q1706" s="4"/>
      <c r="R1706" s="5">
        <v>0</v>
      </c>
      <c r="S1706">
        <v>0</v>
      </c>
      <c r="T1706" t="b">
        <v>1</v>
      </c>
      <c r="U1706">
        <v>-1</v>
      </c>
      <c r="V1706" s="4">
        <v>29.87</v>
      </c>
    </row>
    <row r="1707" spans="1:22" x14ac:dyDescent="0.35">
      <c r="A1707" t="s">
        <v>28</v>
      </c>
      <c r="B1707">
        <v>4</v>
      </c>
      <c r="C1707">
        <v>1</v>
      </c>
      <c r="D1707">
        <v>2</v>
      </c>
      <c r="E1707" t="s">
        <v>29</v>
      </c>
      <c r="F1707">
        <v>50</v>
      </c>
      <c r="G1707">
        <v>3</v>
      </c>
      <c r="H1707">
        <v>20</v>
      </c>
      <c r="I1707" t="s">
        <v>26</v>
      </c>
      <c r="J1707" s="3">
        <v>213.70003600000001</v>
      </c>
      <c r="K1707" s="3" t="s">
        <v>24</v>
      </c>
      <c r="L1707" s="3" t="s">
        <v>24</v>
      </c>
      <c r="M1707" s="3" t="s">
        <v>24</v>
      </c>
      <c r="N1707" s="3">
        <v>22134.281999999999</v>
      </c>
      <c r="O1707" s="4"/>
      <c r="P1707" s="4"/>
      <c r="Q1707" s="4"/>
      <c r="R1707" s="5">
        <v>0</v>
      </c>
      <c r="S1707">
        <v>0</v>
      </c>
      <c r="T1707" t="b">
        <v>1</v>
      </c>
      <c r="U1707">
        <v>-1</v>
      </c>
      <c r="V1707" s="4">
        <v>92.11</v>
      </c>
    </row>
    <row r="1708" spans="1:22" x14ac:dyDescent="0.35">
      <c r="A1708" t="s">
        <v>28</v>
      </c>
      <c r="B1708">
        <v>4</v>
      </c>
      <c r="C1708">
        <v>1</v>
      </c>
      <c r="D1708">
        <v>2</v>
      </c>
      <c r="E1708" t="s">
        <v>29</v>
      </c>
      <c r="F1708">
        <v>200</v>
      </c>
      <c r="G1708">
        <v>1</v>
      </c>
      <c r="H1708">
        <v>20</v>
      </c>
      <c r="I1708" t="s">
        <v>26</v>
      </c>
      <c r="J1708" s="3">
        <v>211.59281899999999</v>
      </c>
      <c r="K1708" s="3">
        <v>22134.281999999999</v>
      </c>
      <c r="L1708" s="3">
        <v>22134.281999999999</v>
      </c>
      <c r="M1708" s="3">
        <v>22134.281999999999</v>
      </c>
      <c r="N1708" s="3">
        <v>22134.281999999999</v>
      </c>
      <c r="O1708" s="4">
        <v>0</v>
      </c>
      <c r="P1708" s="4">
        <v>0</v>
      </c>
      <c r="Q1708" s="4">
        <v>0</v>
      </c>
      <c r="R1708" s="5">
        <v>1E-4</v>
      </c>
      <c r="S1708">
        <v>1</v>
      </c>
      <c r="T1708" t="b">
        <v>0</v>
      </c>
      <c r="U1708">
        <v>1</v>
      </c>
      <c r="V1708" s="4">
        <v>92.43</v>
      </c>
    </row>
    <row r="1709" spans="1:22" x14ac:dyDescent="0.35">
      <c r="A1709" t="s">
        <v>28</v>
      </c>
      <c r="B1709">
        <v>4</v>
      </c>
      <c r="C1709">
        <v>1</v>
      </c>
      <c r="D1709">
        <v>2</v>
      </c>
      <c r="E1709" t="s">
        <v>29</v>
      </c>
      <c r="F1709">
        <v>200</v>
      </c>
      <c r="G1709">
        <v>3</v>
      </c>
      <c r="H1709">
        <v>20</v>
      </c>
      <c r="I1709" t="s">
        <v>26</v>
      </c>
      <c r="J1709" s="3">
        <v>211.59281899999999</v>
      </c>
      <c r="K1709" s="3">
        <v>22134.281999999999</v>
      </c>
      <c r="L1709" s="3">
        <v>22134.281999999999</v>
      </c>
      <c r="M1709" s="3">
        <v>22134.281999999999</v>
      </c>
      <c r="N1709" s="3">
        <v>22134.281999999999</v>
      </c>
      <c r="O1709" s="4">
        <v>0</v>
      </c>
      <c r="P1709" s="4">
        <v>0</v>
      </c>
      <c r="Q1709" s="4">
        <v>0</v>
      </c>
      <c r="R1709" s="5">
        <v>1E-4</v>
      </c>
      <c r="S1709">
        <v>1</v>
      </c>
      <c r="T1709" t="b">
        <v>0</v>
      </c>
      <c r="U1709">
        <v>1</v>
      </c>
      <c r="V1709" s="4">
        <v>255.46</v>
      </c>
    </row>
    <row r="1710" spans="1:22" x14ac:dyDescent="0.35">
      <c r="A1710" t="s">
        <v>28</v>
      </c>
      <c r="B1710">
        <v>4</v>
      </c>
      <c r="C1710">
        <v>1</v>
      </c>
      <c r="D1710">
        <v>5</v>
      </c>
      <c r="E1710" t="s">
        <v>29</v>
      </c>
      <c r="F1710">
        <v>50</v>
      </c>
      <c r="G1710">
        <v>1</v>
      </c>
      <c r="H1710">
        <v>20</v>
      </c>
      <c r="I1710" t="s">
        <v>26</v>
      </c>
      <c r="J1710" s="3">
        <v>524.700424</v>
      </c>
      <c r="K1710" s="3" t="s">
        <v>24</v>
      </c>
      <c r="L1710" s="3" t="s">
        <v>24</v>
      </c>
      <c r="M1710" s="3" t="s">
        <v>24</v>
      </c>
      <c r="N1710" s="3">
        <v>22134.281999999999</v>
      </c>
      <c r="O1710" s="4"/>
      <c r="P1710" s="4"/>
      <c r="Q1710" s="4"/>
      <c r="R1710" s="5">
        <v>0</v>
      </c>
      <c r="S1710">
        <v>0</v>
      </c>
      <c r="T1710" t="b">
        <v>1</v>
      </c>
      <c r="U1710">
        <v>-1</v>
      </c>
      <c r="V1710" s="4">
        <v>29.13</v>
      </c>
    </row>
    <row r="1711" spans="1:22" x14ac:dyDescent="0.35">
      <c r="A1711" t="s">
        <v>28</v>
      </c>
      <c r="B1711">
        <v>4</v>
      </c>
      <c r="C1711">
        <v>1</v>
      </c>
      <c r="D1711">
        <v>5</v>
      </c>
      <c r="E1711" t="s">
        <v>29</v>
      </c>
      <c r="F1711">
        <v>50</v>
      </c>
      <c r="G1711">
        <v>3</v>
      </c>
      <c r="H1711">
        <v>20</v>
      </c>
      <c r="I1711" t="s">
        <v>26</v>
      </c>
      <c r="J1711" s="3">
        <v>522.74190699999997</v>
      </c>
      <c r="K1711" s="3">
        <v>22134.281999999999</v>
      </c>
      <c r="L1711" s="3">
        <v>22134.281999999999</v>
      </c>
      <c r="M1711" s="3">
        <v>22134.281999999999</v>
      </c>
      <c r="N1711" s="3">
        <v>22134.281999999999</v>
      </c>
      <c r="O1711" s="4">
        <v>0</v>
      </c>
      <c r="P1711" s="4">
        <v>0</v>
      </c>
      <c r="Q1711" s="4">
        <v>0</v>
      </c>
      <c r="R1711" s="5">
        <v>1E-4</v>
      </c>
      <c r="S1711">
        <v>1</v>
      </c>
      <c r="T1711" t="b">
        <v>0</v>
      </c>
      <c r="U1711">
        <v>1</v>
      </c>
      <c r="V1711" s="4">
        <v>86.44</v>
      </c>
    </row>
    <row r="1712" spans="1:22" x14ac:dyDescent="0.35">
      <c r="A1712" t="s">
        <v>28</v>
      </c>
      <c r="B1712">
        <v>4</v>
      </c>
      <c r="C1712">
        <v>1</v>
      </c>
      <c r="D1712">
        <v>5</v>
      </c>
      <c r="E1712" t="s">
        <v>29</v>
      </c>
      <c r="F1712">
        <v>200</v>
      </c>
      <c r="G1712">
        <v>1</v>
      </c>
      <c r="H1712">
        <v>20</v>
      </c>
      <c r="I1712" t="s">
        <v>26</v>
      </c>
      <c r="J1712" s="3">
        <v>172.88344000000001</v>
      </c>
      <c r="K1712" s="3">
        <v>22134.281999999999</v>
      </c>
      <c r="L1712" s="3">
        <v>22134.281999999999</v>
      </c>
      <c r="M1712" s="3">
        <v>22134.281999999999</v>
      </c>
      <c r="N1712" s="3">
        <v>22134.281999999999</v>
      </c>
      <c r="O1712" s="4">
        <v>0</v>
      </c>
      <c r="P1712" s="4">
        <v>0</v>
      </c>
      <c r="Q1712" s="4">
        <v>0</v>
      </c>
      <c r="R1712" s="5">
        <v>6.7999999999999996E-3</v>
      </c>
      <c r="S1712">
        <v>1</v>
      </c>
      <c r="T1712" t="b">
        <v>0</v>
      </c>
      <c r="U1712">
        <v>1</v>
      </c>
      <c r="V1712" s="4">
        <v>83.87</v>
      </c>
    </row>
    <row r="1713" spans="1:22" x14ac:dyDescent="0.35">
      <c r="A1713" t="s">
        <v>28</v>
      </c>
      <c r="B1713">
        <v>4</v>
      </c>
      <c r="C1713">
        <v>1</v>
      </c>
      <c r="D1713">
        <v>5</v>
      </c>
      <c r="E1713" t="s">
        <v>29</v>
      </c>
      <c r="F1713">
        <v>200</v>
      </c>
      <c r="G1713">
        <v>3</v>
      </c>
      <c r="H1713">
        <v>20</v>
      </c>
      <c r="I1713" t="s">
        <v>26</v>
      </c>
      <c r="J1713" s="3">
        <v>172.88344000000001</v>
      </c>
      <c r="K1713" s="3">
        <v>22134.281999999999</v>
      </c>
      <c r="L1713" s="3">
        <v>22134.281999999999</v>
      </c>
      <c r="M1713" s="3">
        <v>22134.281999999999</v>
      </c>
      <c r="N1713" s="3">
        <v>22134.281999999999</v>
      </c>
      <c r="O1713" s="4">
        <v>0</v>
      </c>
      <c r="P1713" s="4">
        <v>0</v>
      </c>
      <c r="Q1713" s="4">
        <v>0</v>
      </c>
      <c r="R1713" s="5">
        <v>6.7999999999999996E-3</v>
      </c>
      <c r="S1713">
        <v>1</v>
      </c>
      <c r="T1713" t="b">
        <v>0</v>
      </c>
      <c r="U1713">
        <v>1</v>
      </c>
      <c r="V1713" s="4">
        <v>262.42</v>
      </c>
    </row>
    <row r="1714" spans="1:22" x14ac:dyDescent="0.35">
      <c r="A1714" t="s">
        <v>28</v>
      </c>
      <c r="B1714">
        <v>4</v>
      </c>
      <c r="C1714">
        <v>1</v>
      </c>
      <c r="D1714">
        <v>10</v>
      </c>
      <c r="E1714" t="s">
        <v>29</v>
      </c>
      <c r="F1714">
        <v>50</v>
      </c>
      <c r="G1714">
        <v>1</v>
      </c>
      <c r="H1714">
        <v>20</v>
      </c>
      <c r="I1714" t="s">
        <v>26</v>
      </c>
      <c r="J1714" s="3">
        <v>952.22772799999996</v>
      </c>
      <c r="K1714" s="3" t="s">
        <v>24</v>
      </c>
      <c r="L1714" s="3" t="s">
        <v>24</v>
      </c>
      <c r="M1714" s="3" t="s">
        <v>24</v>
      </c>
      <c r="N1714" s="3">
        <v>22134.281999999999</v>
      </c>
      <c r="O1714" s="4"/>
      <c r="P1714" s="4"/>
      <c r="Q1714" s="4"/>
      <c r="R1714" s="5">
        <v>0</v>
      </c>
      <c r="S1714">
        <v>0</v>
      </c>
      <c r="T1714" t="b">
        <v>1</v>
      </c>
      <c r="U1714">
        <v>-1</v>
      </c>
      <c r="V1714" s="4">
        <v>29.1</v>
      </c>
    </row>
    <row r="1715" spans="1:22" x14ac:dyDescent="0.35">
      <c r="A1715" t="s">
        <v>28</v>
      </c>
      <c r="B1715">
        <v>4</v>
      </c>
      <c r="C1715">
        <v>1</v>
      </c>
      <c r="D1715">
        <v>10</v>
      </c>
      <c r="E1715" t="s">
        <v>29</v>
      </c>
      <c r="F1715">
        <v>50</v>
      </c>
      <c r="G1715">
        <v>3</v>
      </c>
      <c r="H1715">
        <v>20</v>
      </c>
      <c r="I1715" t="s">
        <v>26</v>
      </c>
      <c r="J1715" s="3">
        <v>952.22772799999996</v>
      </c>
      <c r="K1715" s="3" t="s">
        <v>24</v>
      </c>
      <c r="L1715" s="3" t="s">
        <v>24</v>
      </c>
      <c r="M1715" s="3" t="s">
        <v>24</v>
      </c>
      <c r="N1715" s="3">
        <v>22134.281999999999</v>
      </c>
      <c r="O1715" s="4"/>
      <c r="P1715" s="4"/>
      <c r="Q1715" s="4"/>
      <c r="R1715" s="5">
        <v>0</v>
      </c>
      <c r="S1715">
        <v>0</v>
      </c>
      <c r="T1715" t="b">
        <v>1</v>
      </c>
      <c r="U1715">
        <v>-1</v>
      </c>
      <c r="V1715" s="4">
        <v>88.29</v>
      </c>
    </row>
    <row r="1716" spans="1:22" x14ac:dyDescent="0.35">
      <c r="A1716" t="s">
        <v>28</v>
      </c>
      <c r="B1716">
        <v>4</v>
      </c>
      <c r="C1716">
        <v>1</v>
      </c>
      <c r="D1716">
        <v>10</v>
      </c>
      <c r="E1716" t="s">
        <v>29</v>
      </c>
      <c r="F1716">
        <v>200</v>
      </c>
      <c r="G1716">
        <v>1</v>
      </c>
      <c r="H1716">
        <v>20</v>
      </c>
      <c r="I1716" t="s">
        <v>26</v>
      </c>
      <c r="J1716" s="3">
        <v>343.39041099999997</v>
      </c>
      <c r="K1716" s="3">
        <v>22134.281999999999</v>
      </c>
      <c r="L1716" s="3">
        <v>22134.281999999999</v>
      </c>
      <c r="M1716" s="3">
        <v>22134.281999999999</v>
      </c>
      <c r="N1716" s="3">
        <v>22134.281999999999</v>
      </c>
      <c r="O1716" s="4">
        <v>0</v>
      </c>
      <c r="P1716" s="4">
        <v>0</v>
      </c>
      <c r="Q1716" s="4">
        <v>0</v>
      </c>
      <c r="R1716" s="5">
        <v>5.0000000000000001E-3</v>
      </c>
      <c r="S1716">
        <v>1</v>
      </c>
      <c r="T1716" t="b">
        <v>0</v>
      </c>
      <c r="U1716">
        <v>1</v>
      </c>
      <c r="V1716" s="4">
        <v>85</v>
      </c>
    </row>
    <row r="1717" spans="1:22" x14ac:dyDescent="0.35">
      <c r="A1717" t="s">
        <v>28</v>
      </c>
      <c r="B1717">
        <v>4</v>
      </c>
      <c r="C1717">
        <v>1</v>
      </c>
      <c r="D1717">
        <v>10</v>
      </c>
      <c r="E1717" t="s">
        <v>29</v>
      </c>
      <c r="F1717">
        <v>200</v>
      </c>
      <c r="G1717">
        <v>3</v>
      </c>
      <c r="H1717">
        <v>20</v>
      </c>
      <c r="I1717" t="s">
        <v>26</v>
      </c>
      <c r="J1717" s="3">
        <v>343.39041099999997</v>
      </c>
      <c r="K1717" s="3">
        <v>22134.281999999999</v>
      </c>
      <c r="L1717" s="3">
        <v>22134.281999999999</v>
      </c>
      <c r="M1717" s="3">
        <v>22134.281999999999</v>
      </c>
      <c r="N1717" s="3">
        <v>22134.281999999999</v>
      </c>
      <c r="O1717" s="4">
        <v>0</v>
      </c>
      <c r="P1717" s="4">
        <v>0</v>
      </c>
      <c r="Q1717" s="4">
        <v>0</v>
      </c>
      <c r="R1717" s="5">
        <v>5.0000000000000001E-3</v>
      </c>
      <c r="S1717">
        <v>1</v>
      </c>
      <c r="T1717" t="b">
        <v>0</v>
      </c>
      <c r="U1717">
        <v>1</v>
      </c>
      <c r="V1717" s="4">
        <v>253.04</v>
      </c>
    </row>
    <row r="1718" spans="1:22" x14ac:dyDescent="0.35">
      <c r="A1718" t="s">
        <v>28</v>
      </c>
      <c r="B1718">
        <v>4</v>
      </c>
      <c r="C1718">
        <v>3</v>
      </c>
      <c r="D1718">
        <v>2</v>
      </c>
      <c r="E1718" t="s">
        <v>29</v>
      </c>
      <c r="F1718">
        <v>50</v>
      </c>
      <c r="G1718">
        <v>1</v>
      </c>
      <c r="H1718">
        <v>20</v>
      </c>
      <c r="I1718" t="s">
        <v>26</v>
      </c>
      <c r="J1718" s="3">
        <v>217.89261999999999</v>
      </c>
      <c r="K1718" s="3" t="s">
        <v>24</v>
      </c>
      <c r="L1718" s="3" t="s">
        <v>24</v>
      </c>
      <c r="M1718" s="3" t="s">
        <v>24</v>
      </c>
      <c r="N1718" s="3">
        <v>22134.281999999999</v>
      </c>
      <c r="O1718" s="4"/>
      <c r="P1718" s="4"/>
      <c r="Q1718" s="4"/>
      <c r="R1718" s="5">
        <v>0</v>
      </c>
      <c r="S1718">
        <v>0</v>
      </c>
      <c r="T1718" t="b">
        <v>1</v>
      </c>
      <c r="U1718">
        <v>-1</v>
      </c>
      <c r="V1718" s="4">
        <v>44.88</v>
      </c>
    </row>
    <row r="1719" spans="1:22" x14ac:dyDescent="0.35">
      <c r="A1719" t="s">
        <v>28</v>
      </c>
      <c r="B1719">
        <v>4</v>
      </c>
      <c r="C1719">
        <v>3</v>
      </c>
      <c r="D1719">
        <v>2</v>
      </c>
      <c r="E1719" t="s">
        <v>29</v>
      </c>
      <c r="F1719">
        <v>50</v>
      </c>
      <c r="G1719">
        <v>3</v>
      </c>
      <c r="H1719">
        <v>20</v>
      </c>
      <c r="I1719" t="s">
        <v>26</v>
      </c>
      <c r="J1719" s="3">
        <v>213.35205400000001</v>
      </c>
      <c r="K1719" s="3" t="s">
        <v>24</v>
      </c>
      <c r="L1719" s="3" t="s">
        <v>24</v>
      </c>
      <c r="M1719" s="3" t="s">
        <v>24</v>
      </c>
      <c r="N1719" s="3">
        <v>22134.281999999999</v>
      </c>
      <c r="O1719" s="4"/>
      <c r="P1719" s="4"/>
      <c r="Q1719" s="4"/>
      <c r="R1719" s="5">
        <v>0</v>
      </c>
      <c r="S1719">
        <v>0</v>
      </c>
      <c r="T1719" t="b">
        <v>1</v>
      </c>
      <c r="U1719">
        <v>-1</v>
      </c>
      <c r="V1719" s="4">
        <v>135.21</v>
      </c>
    </row>
    <row r="1720" spans="1:22" x14ac:dyDescent="0.35">
      <c r="A1720" t="s">
        <v>28</v>
      </c>
      <c r="B1720">
        <v>4</v>
      </c>
      <c r="C1720">
        <v>3</v>
      </c>
      <c r="D1720">
        <v>2</v>
      </c>
      <c r="E1720" t="s">
        <v>29</v>
      </c>
      <c r="F1720">
        <v>200</v>
      </c>
      <c r="G1720">
        <v>1</v>
      </c>
      <c r="H1720">
        <v>20</v>
      </c>
      <c r="I1720" t="s">
        <v>26</v>
      </c>
      <c r="J1720" s="3">
        <v>225.99494799999999</v>
      </c>
      <c r="K1720" s="3">
        <v>22134.281999999999</v>
      </c>
      <c r="L1720" s="3">
        <v>22134.281999999999</v>
      </c>
      <c r="M1720" s="3">
        <v>22134.281999999999</v>
      </c>
      <c r="N1720" s="3">
        <v>22134.281999999999</v>
      </c>
      <c r="O1720" s="4">
        <v>0</v>
      </c>
      <c r="P1720" s="4">
        <v>0</v>
      </c>
      <c r="Q1720" s="4">
        <v>0</v>
      </c>
      <c r="R1720" s="5">
        <v>8.0000000000000004E-4</v>
      </c>
      <c r="S1720">
        <v>1</v>
      </c>
      <c r="T1720" t="b">
        <v>0</v>
      </c>
      <c r="U1720">
        <v>1</v>
      </c>
      <c r="V1720" s="4">
        <v>132.38</v>
      </c>
    </row>
    <row r="1721" spans="1:22" x14ac:dyDescent="0.35">
      <c r="A1721" t="s">
        <v>28</v>
      </c>
      <c r="B1721">
        <v>4</v>
      </c>
      <c r="C1721">
        <v>3</v>
      </c>
      <c r="D1721">
        <v>2</v>
      </c>
      <c r="E1721" t="s">
        <v>29</v>
      </c>
      <c r="F1721">
        <v>200</v>
      </c>
      <c r="G1721">
        <v>3</v>
      </c>
      <c r="H1721">
        <v>20</v>
      </c>
      <c r="I1721" t="s">
        <v>26</v>
      </c>
      <c r="J1721" s="3">
        <v>204.36973699999999</v>
      </c>
      <c r="K1721" s="3">
        <v>22134.281999999999</v>
      </c>
      <c r="L1721" s="3">
        <v>22134.281999999999</v>
      </c>
      <c r="M1721" s="3">
        <v>22134.281999999999</v>
      </c>
      <c r="N1721" s="3">
        <v>22134.281999999999</v>
      </c>
      <c r="O1721" s="4">
        <v>0</v>
      </c>
      <c r="P1721" s="4">
        <v>0</v>
      </c>
      <c r="Q1721" s="4">
        <v>0</v>
      </c>
      <c r="R1721" s="5">
        <v>6.9999999999999999E-4</v>
      </c>
      <c r="S1721">
        <v>1</v>
      </c>
      <c r="T1721" t="b">
        <v>0</v>
      </c>
      <c r="U1721">
        <v>1</v>
      </c>
      <c r="V1721" s="4">
        <v>397.81</v>
      </c>
    </row>
    <row r="1722" spans="1:22" x14ac:dyDescent="0.35">
      <c r="A1722" t="s">
        <v>28</v>
      </c>
      <c r="B1722">
        <v>4</v>
      </c>
      <c r="C1722">
        <v>3</v>
      </c>
      <c r="D1722">
        <v>5</v>
      </c>
      <c r="E1722" t="s">
        <v>29</v>
      </c>
      <c r="F1722">
        <v>50</v>
      </c>
      <c r="G1722">
        <v>1</v>
      </c>
      <c r="H1722">
        <v>20</v>
      </c>
      <c r="I1722" t="s">
        <v>26</v>
      </c>
      <c r="J1722" s="3">
        <v>518.58434999999997</v>
      </c>
      <c r="K1722" s="3">
        <v>22134.281999999999</v>
      </c>
      <c r="L1722" s="3">
        <v>22134.281999999999</v>
      </c>
      <c r="M1722" s="3">
        <v>22134.281999999999</v>
      </c>
      <c r="N1722" s="3">
        <v>22134.281999999999</v>
      </c>
      <c r="O1722" s="4">
        <v>0</v>
      </c>
      <c r="P1722" s="4">
        <v>0</v>
      </c>
      <c r="Q1722" s="4">
        <v>0</v>
      </c>
      <c r="R1722" s="5">
        <v>2.0000000000000001E-4</v>
      </c>
      <c r="S1722">
        <v>1</v>
      </c>
      <c r="T1722" t="b">
        <v>0</v>
      </c>
      <c r="U1722">
        <v>1</v>
      </c>
      <c r="V1722" s="4">
        <v>45.44</v>
      </c>
    </row>
    <row r="1723" spans="1:22" x14ac:dyDescent="0.35">
      <c r="A1723" t="s">
        <v>28</v>
      </c>
      <c r="B1723">
        <v>4</v>
      </c>
      <c r="C1723">
        <v>3</v>
      </c>
      <c r="D1723">
        <v>5</v>
      </c>
      <c r="E1723" t="s">
        <v>29</v>
      </c>
      <c r="F1723">
        <v>50</v>
      </c>
      <c r="G1723">
        <v>3</v>
      </c>
      <c r="H1723">
        <v>20</v>
      </c>
      <c r="I1723" t="s">
        <v>26</v>
      </c>
      <c r="J1723" s="3">
        <v>464.92943500000001</v>
      </c>
      <c r="K1723" s="3">
        <v>22134.281999999999</v>
      </c>
      <c r="L1723" s="3">
        <v>22134.281999999999</v>
      </c>
      <c r="M1723" s="3">
        <v>22134.281999999999</v>
      </c>
      <c r="N1723" s="3">
        <v>22134.281999999999</v>
      </c>
      <c r="O1723" s="4">
        <v>0</v>
      </c>
      <c r="P1723" s="4">
        <v>0</v>
      </c>
      <c r="Q1723" s="4">
        <v>0</v>
      </c>
      <c r="R1723" s="5">
        <v>4.0000000000000002E-4</v>
      </c>
      <c r="S1723">
        <v>1</v>
      </c>
      <c r="T1723" t="b">
        <v>0</v>
      </c>
      <c r="U1723">
        <v>1</v>
      </c>
      <c r="V1723" s="4">
        <v>134.22999999999999</v>
      </c>
    </row>
    <row r="1724" spans="1:22" x14ac:dyDescent="0.35">
      <c r="A1724" t="s">
        <v>28</v>
      </c>
      <c r="B1724">
        <v>4</v>
      </c>
      <c r="C1724">
        <v>3</v>
      </c>
      <c r="D1724">
        <v>5</v>
      </c>
      <c r="E1724" t="s">
        <v>29</v>
      </c>
      <c r="F1724">
        <v>200</v>
      </c>
      <c r="G1724">
        <v>1</v>
      </c>
      <c r="H1724">
        <v>20</v>
      </c>
      <c r="I1724" t="s">
        <v>26</v>
      </c>
      <c r="J1724" s="3">
        <v>514.01651000000004</v>
      </c>
      <c r="K1724" s="3">
        <v>22134.281999999999</v>
      </c>
      <c r="L1724" s="3">
        <v>22134.281999999999</v>
      </c>
      <c r="M1724" s="3">
        <v>22134.281999999999</v>
      </c>
      <c r="N1724" s="3">
        <v>22134.281999999999</v>
      </c>
      <c r="O1724" s="4">
        <v>0</v>
      </c>
      <c r="P1724" s="4">
        <v>0</v>
      </c>
      <c r="Q1724" s="4">
        <v>0</v>
      </c>
      <c r="R1724" s="5">
        <v>2.5000000000000001E-3</v>
      </c>
      <c r="S1724">
        <v>1</v>
      </c>
      <c r="T1724" t="b">
        <v>0</v>
      </c>
      <c r="U1724">
        <v>1</v>
      </c>
      <c r="V1724" s="4">
        <v>132.62</v>
      </c>
    </row>
    <row r="1725" spans="1:22" x14ac:dyDescent="0.35">
      <c r="A1725" t="s">
        <v>28</v>
      </c>
      <c r="B1725">
        <v>4</v>
      </c>
      <c r="C1725">
        <v>3</v>
      </c>
      <c r="D1725">
        <v>5</v>
      </c>
      <c r="E1725" t="s">
        <v>29</v>
      </c>
      <c r="F1725">
        <v>200</v>
      </c>
      <c r="G1725">
        <v>3</v>
      </c>
      <c r="H1725">
        <v>20</v>
      </c>
      <c r="I1725" t="s">
        <v>26</v>
      </c>
      <c r="J1725" s="3">
        <v>514.01651000000004</v>
      </c>
      <c r="K1725" s="3">
        <v>22134.281999999999</v>
      </c>
      <c r="L1725" s="3">
        <v>22134.281999999999</v>
      </c>
      <c r="M1725" s="3">
        <v>22134.281999999999</v>
      </c>
      <c r="N1725" s="3">
        <v>22134.281999999999</v>
      </c>
      <c r="O1725" s="4">
        <v>0</v>
      </c>
      <c r="P1725" s="4">
        <v>0</v>
      </c>
      <c r="Q1725" s="4">
        <v>0</v>
      </c>
      <c r="R1725" s="5">
        <v>2.5000000000000001E-3</v>
      </c>
      <c r="S1725">
        <v>1</v>
      </c>
      <c r="T1725" t="b">
        <v>0</v>
      </c>
      <c r="U1725">
        <v>1</v>
      </c>
      <c r="V1725" s="4">
        <v>398.11</v>
      </c>
    </row>
    <row r="1726" spans="1:22" x14ac:dyDescent="0.35">
      <c r="A1726" t="s">
        <v>28</v>
      </c>
      <c r="B1726">
        <v>4</v>
      </c>
      <c r="C1726">
        <v>3</v>
      </c>
      <c r="D1726">
        <v>10</v>
      </c>
      <c r="E1726" t="s">
        <v>29</v>
      </c>
      <c r="F1726">
        <v>50</v>
      </c>
      <c r="G1726">
        <v>1</v>
      </c>
      <c r="H1726">
        <v>20</v>
      </c>
      <c r="I1726" t="s">
        <v>26</v>
      </c>
      <c r="J1726" s="3">
        <v>1047.764357</v>
      </c>
      <c r="K1726" s="3" t="s">
        <v>24</v>
      </c>
      <c r="L1726" s="3" t="s">
        <v>24</v>
      </c>
      <c r="M1726" s="3" t="s">
        <v>24</v>
      </c>
      <c r="N1726" s="3">
        <v>22134.281999999999</v>
      </c>
      <c r="O1726" s="4"/>
      <c r="P1726" s="4"/>
      <c r="Q1726" s="4"/>
      <c r="R1726" s="5">
        <v>0</v>
      </c>
      <c r="S1726">
        <v>0</v>
      </c>
      <c r="T1726" t="b">
        <v>1</v>
      </c>
      <c r="U1726">
        <v>-1</v>
      </c>
      <c r="V1726" s="4">
        <v>45.59</v>
      </c>
    </row>
    <row r="1727" spans="1:22" x14ac:dyDescent="0.35">
      <c r="A1727" t="s">
        <v>28</v>
      </c>
      <c r="B1727">
        <v>4</v>
      </c>
      <c r="C1727">
        <v>3</v>
      </c>
      <c r="D1727">
        <v>10</v>
      </c>
      <c r="E1727" t="s">
        <v>29</v>
      </c>
      <c r="F1727">
        <v>50</v>
      </c>
      <c r="G1727">
        <v>3</v>
      </c>
      <c r="H1727">
        <v>20</v>
      </c>
      <c r="I1727" t="s">
        <v>26</v>
      </c>
      <c r="J1727" s="3">
        <v>1045.2102640000001</v>
      </c>
      <c r="K1727" s="3" t="s">
        <v>24</v>
      </c>
      <c r="L1727" s="3" t="s">
        <v>24</v>
      </c>
      <c r="M1727" s="3" t="s">
        <v>24</v>
      </c>
      <c r="N1727" s="3">
        <v>22134.281999999999</v>
      </c>
      <c r="O1727" s="4"/>
      <c r="P1727" s="4"/>
      <c r="Q1727" s="4"/>
      <c r="R1727" s="5">
        <v>0</v>
      </c>
      <c r="S1727">
        <v>0</v>
      </c>
      <c r="T1727" t="b">
        <v>1</v>
      </c>
      <c r="U1727">
        <v>-1</v>
      </c>
      <c r="V1727" s="4">
        <v>133.63</v>
      </c>
    </row>
    <row r="1728" spans="1:22" x14ac:dyDescent="0.35">
      <c r="A1728" t="s">
        <v>28</v>
      </c>
      <c r="B1728">
        <v>4</v>
      </c>
      <c r="C1728">
        <v>3</v>
      </c>
      <c r="D1728">
        <v>10</v>
      </c>
      <c r="E1728" t="s">
        <v>29</v>
      </c>
      <c r="F1728">
        <v>200</v>
      </c>
      <c r="G1728">
        <v>1</v>
      </c>
      <c r="H1728">
        <v>20</v>
      </c>
      <c r="I1728" t="s">
        <v>26</v>
      </c>
      <c r="J1728" s="3">
        <v>1051.889021</v>
      </c>
      <c r="K1728" s="3" t="s">
        <v>24</v>
      </c>
      <c r="L1728" s="3" t="s">
        <v>24</v>
      </c>
      <c r="M1728" s="3" t="s">
        <v>24</v>
      </c>
      <c r="N1728" s="3">
        <v>22134.281999999999</v>
      </c>
      <c r="O1728" s="4"/>
      <c r="P1728" s="4"/>
      <c r="Q1728" s="4"/>
      <c r="R1728" s="5">
        <v>0</v>
      </c>
      <c r="S1728">
        <v>0</v>
      </c>
      <c r="T1728" t="b">
        <v>1</v>
      </c>
      <c r="U1728">
        <v>-1</v>
      </c>
      <c r="V1728" s="4">
        <v>133.94999999999999</v>
      </c>
    </row>
    <row r="1729" spans="1:22" x14ac:dyDescent="0.35">
      <c r="A1729" t="s">
        <v>28</v>
      </c>
      <c r="B1729">
        <v>4</v>
      </c>
      <c r="C1729">
        <v>3</v>
      </c>
      <c r="D1729">
        <v>10</v>
      </c>
      <c r="E1729" t="s">
        <v>29</v>
      </c>
      <c r="F1729">
        <v>200</v>
      </c>
      <c r="G1729">
        <v>3</v>
      </c>
      <c r="H1729">
        <v>20</v>
      </c>
      <c r="I1729" t="s">
        <v>26</v>
      </c>
      <c r="J1729" s="3">
        <v>978.24469699999997</v>
      </c>
      <c r="K1729" s="3" t="s">
        <v>24</v>
      </c>
      <c r="L1729" s="3" t="s">
        <v>24</v>
      </c>
      <c r="M1729" s="3" t="s">
        <v>24</v>
      </c>
      <c r="N1729" s="3">
        <v>22134.281999999999</v>
      </c>
      <c r="O1729" s="4"/>
      <c r="P1729" s="4"/>
      <c r="Q1729" s="4"/>
      <c r="R1729" s="5">
        <v>0</v>
      </c>
      <c r="S1729">
        <v>0</v>
      </c>
      <c r="T1729" t="b">
        <v>1</v>
      </c>
      <c r="U1729">
        <v>-1</v>
      </c>
      <c r="V1729" s="4">
        <v>396.75</v>
      </c>
    </row>
    <row r="1730" spans="1:22" x14ac:dyDescent="0.35">
      <c r="J1730" s="3"/>
      <c r="K1730" s="3"/>
      <c r="L1730" s="3"/>
      <c r="M1730" s="3"/>
      <c r="N1730" s="3"/>
      <c r="O1730" s="4"/>
      <c r="P1730" s="4"/>
      <c r="Q1730" s="4"/>
      <c r="R1730" s="5"/>
      <c r="V173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788D-C157-4295-A6E6-C61CF64CD2CE}">
  <dimension ref="A1:G22"/>
  <sheetViews>
    <sheetView workbookViewId="0"/>
  </sheetViews>
  <sheetFormatPr defaultRowHeight="14.5" x14ac:dyDescent="0.35"/>
  <sheetData>
    <row r="1" spans="1:7" x14ac:dyDescent="0.35">
      <c r="A1" s="1" t="s">
        <v>40</v>
      </c>
      <c r="B1" s="1" t="s">
        <v>38</v>
      </c>
      <c r="C1" s="1" t="s">
        <v>39</v>
      </c>
      <c r="E1" s="1" t="s">
        <v>31</v>
      </c>
      <c r="F1" s="1" t="s">
        <v>49</v>
      </c>
      <c r="G1" s="1" t="s">
        <v>50</v>
      </c>
    </row>
    <row r="2" spans="1:7" x14ac:dyDescent="0.35">
      <c r="A2" s="6" t="s">
        <v>41</v>
      </c>
      <c r="B2">
        <v>15.2</v>
      </c>
      <c r="C2">
        <v>44.7</v>
      </c>
      <c r="E2" s="6" t="s">
        <v>32</v>
      </c>
      <c r="F2">
        <v>24</v>
      </c>
      <c r="G2">
        <v>336</v>
      </c>
    </row>
    <row r="3" spans="1:7" x14ac:dyDescent="0.35">
      <c r="A3" s="6" t="s">
        <v>42</v>
      </c>
      <c r="B3">
        <v>34.799999999999997</v>
      </c>
      <c r="C3">
        <v>104.4</v>
      </c>
      <c r="E3" s="6" t="s">
        <v>33</v>
      </c>
      <c r="F3">
        <v>106</v>
      </c>
      <c r="G3">
        <v>254</v>
      </c>
    </row>
    <row r="4" spans="1:7" x14ac:dyDescent="0.35">
      <c r="E4" s="6" t="s">
        <v>34</v>
      </c>
      <c r="F4">
        <v>90</v>
      </c>
      <c r="G4">
        <v>270</v>
      </c>
    </row>
    <row r="5" spans="1:7" x14ac:dyDescent="0.35">
      <c r="E5" s="6" t="s">
        <v>35</v>
      </c>
      <c r="F5">
        <v>221</v>
      </c>
      <c r="G5">
        <v>139</v>
      </c>
    </row>
    <row r="6" spans="1:7" x14ac:dyDescent="0.35">
      <c r="A6" s="1" t="s">
        <v>36</v>
      </c>
      <c r="B6" s="1" t="s">
        <v>41</v>
      </c>
      <c r="C6" s="1" t="s">
        <v>42</v>
      </c>
    </row>
    <row r="7" spans="1:7" x14ac:dyDescent="0.35">
      <c r="A7" s="6" t="s">
        <v>22</v>
      </c>
      <c r="B7">
        <v>23.5</v>
      </c>
      <c r="C7">
        <v>31.9</v>
      </c>
    </row>
    <row r="8" spans="1:7" x14ac:dyDescent="0.35">
      <c r="A8" s="6" t="s">
        <v>25</v>
      </c>
      <c r="B8">
        <v>7</v>
      </c>
      <c r="C8">
        <v>10.1</v>
      </c>
    </row>
    <row r="9" spans="1:7" x14ac:dyDescent="0.35">
      <c r="A9" s="6" t="s">
        <v>29</v>
      </c>
      <c r="B9">
        <v>88.8</v>
      </c>
      <c r="C9">
        <v>264</v>
      </c>
    </row>
    <row r="12" spans="1:7" x14ac:dyDescent="0.35">
      <c r="A12" s="1" t="s">
        <v>36</v>
      </c>
      <c r="B12" s="1" t="s">
        <v>43</v>
      </c>
      <c r="C12" s="1" t="s">
        <v>44</v>
      </c>
    </row>
    <row r="13" spans="1:7" x14ac:dyDescent="0.35">
      <c r="A13" s="6" t="s">
        <v>22</v>
      </c>
      <c r="B13">
        <v>13.9</v>
      </c>
      <c r="C13">
        <v>41.5</v>
      </c>
    </row>
    <row r="14" spans="1:7" x14ac:dyDescent="0.35">
      <c r="A14" s="6" t="s">
        <v>25</v>
      </c>
      <c r="B14">
        <v>3.9</v>
      </c>
      <c r="C14">
        <v>13.2</v>
      </c>
    </row>
    <row r="15" spans="1:7" x14ac:dyDescent="0.35">
      <c r="A15" s="6" t="s">
        <v>29</v>
      </c>
      <c r="B15">
        <v>89.4</v>
      </c>
      <c r="C15">
        <v>263.39999999999998</v>
      </c>
    </row>
    <row r="18" spans="1:4" x14ac:dyDescent="0.35">
      <c r="A18" s="1" t="s">
        <v>37</v>
      </c>
      <c r="B18" s="1" t="s">
        <v>22</v>
      </c>
      <c r="C18" s="1" t="s">
        <v>25</v>
      </c>
      <c r="D18" s="1" t="s">
        <v>29</v>
      </c>
    </row>
    <row r="19" spans="1:4" x14ac:dyDescent="0.35">
      <c r="A19" s="6" t="s">
        <v>45</v>
      </c>
      <c r="B19">
        <v>11.8</v>
      </c>
      <c r="C19">
        <v>2.8</v>
      </c>
    </row>
    <row r="20" spans="1:4" x14ac:dyDescent="0.35">
      <c r="A20" s="6" t="s">
        <v>46</v>
      </c>
      <c r="B20">
        <v>18.899999999999999</v>
      </c>
      <c r="C20">
        <v>11.4</v>
      </c>
      <c r="D20">
        <v>134.5</v>
      </c>
    </row>
    <row r="21" spans="1:4" x14ac:dyDescent="0.35">
      <c r="A21" s="6" t="s">
        <v>47</v>
      </c>
      <c r="B21">
        <v>29.5</v>
      </c>
      <c r="C21">
        <v>6.6</v>
      </c>
    </row>
    <row r="22" spans="1:4" x14ac:dyDescent="0.35">
      <c r="A22" s="6" t="s">
        <v>48</v>
      </c>
      <c r="B22">
        <v>50.5</v>
      </c>
      <c r="C22">
        <v>13.4</v>
      </c>
      <c r="D22">
        <v>218.4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59C3-9A94-439E-BFBE-4941352EEF3A}">
  <dimension ref="A1:R52"/>
  <sheetViews>
    <sheetView topLeftCell="A12" zoomScale="44" workbookViewId="0">
      <selection activeCell="U16" sqref="U16"/>
    </sheetView>
  </sheetViews>
  <sheetFormatPr defaultRowHeight="14.5" x14ac:dyDescent="0.35"/>
  <cols>
    <col min="1" max="1" width="18.1796875" customWidth="1"/>
    <col min="2" max="4" width="14.54296875" customWidth="1"/>
    <col min="5" max="6" width="18.1796875" customWidth="1"/>
  </cols>
  <sheetData>
    <row r="1" spans="1:18" ht="18.5" x14ac:dyDescent="0.45">
      <c r="A1" s="22" t="s">
        <v>51</v>
      </c>
      <c r="B1" s="19"/>
      <c r="C1" s="19"/>
      <c r="D1" s="19"/>
      <c r="E1" s="19"/>
      <c r="F1" s="19"/>
    </row>
    <row r="3" spans="1:18" x14ac:dyDescent="0.35">
      <c r="A3" s="7" t="s">
        <v>36</v>
      </c>
      <c r="B3" s="7" t="s">
        <v>37</v>
      </c>
      <c r="C3" s="7" t="s">
        <v>52</v>
      </c>
      <c r="D3" s="7" t="s">
        <v>53</v>
      </c>
      <c r="E3" s="7" t="s">
        <v>54</v>
      </c>
      <c r="F3" s="7" t="s">
        <v>55</v>
      </c>
      <c r="H3" s="6" t="s">
        <v>36</v>
      </c>
      <c r="I3" s="6" t="s">
        <v>55</v>
      </c>
      <c r="K3" s="6" t="s">
        <v>37</v>
      </c>
      <c r="L3" s="6" t="s">
        <v>55</v>
      </c>
      <c r="N3" s="6" t="s">
        <v>53</v>
      </c>
      <c r="O3" s="6" t="s">
        <v>55</v>
      </c>
      <c r="Q3" s="6" t="s">
        <v>52</v>
      </c>
      <c r="R3" s="6" t="s">
        <v>55</v>
      </c>
    </row>
    <row r="4" spans="1:18" x14ac:dyDescent="0.35">
      <c r="A4" t="s">
        <v>25</v>
      </c>
      <c r="B4">
        <v>1</v>
      </c>
      <c r="C4">
        <v>50</v>
      </c>
      <c r="D4">
        <v>1</v>
      </c>
      <c r="E4">
        <v>36</v>
      </c>
      <c r="F4" s="4">
        <v>1.9169444444444441</v>
      </c>
      <c r="H4" t="s">
        <v>25</v>
      </c>
      <c r="I4" s="4">
        <f>AVERAGEIF(Sheet1!E:E,H4,Sheet1!V:V)</f>
        <v>8.521840277777768</v>
      </c>
      <c r="K4">
        <v>1</v>
      </c>
      <c r="L4" s="4">
        <f>AVERAGEIF(Sheet1!C:C,K4,Sheet1!V:V)</f>
        <v>41.641319444444441</v>
      </c>
      <c r="N4">
        <v>1</v>
      </c>
      <c r="O4" s="4">
        <f>AVERAGEIF(Sheet1!G:G,N4,Sheet1!V:V)</f>
        <v>32.288090277777762</v>
      </c>
      <c r="Q4">
        <v>50</v>
      </c>
      <c r="R4" s="4">
        <f>AVERAGEIF(Sheet1!F:F,Q4,Sheet1!V:V)</f>
        <v>36.427199074074082</v>
      </c>
    </row>
    <row r="5" spans="1:18" x14ac:dyDescent="0.35">
      <c r="A5" t="s">
        <v>25</v>
      </c>
      <c r="B5">
        <v>1</v>
      </c>
      <c r="C5">
        <v>50</v>
      </c>
      <c r="D5">
        <v>3</v>
      </c>
      <c r="E5">
        <v>36</v>
      </c>
      <c r="F5" s="4">
        <v>3.3391666666666664</v>
      </c>
      <c r="H5" t="s">
        <v>22</v>
      </c>
      <c r="I5" s="4">
        <f>AVERAGEIF(Sheet1!E:E,H5,Sheet1!V:V)</f>
        <v>27.699965277777792</v>
      </c>
      <c r="K5">
        <v>2</v>
      </c>
      <c r="L5" s="4">
        <f>AVERAGEIF(Sheet1!C:C,K5,Sheet1!V:V)</f>
        <v>54.92990740740737</v>
      </c>
      <c r="N5">
        <v>3</v>
      </c>
      <c r="O5" s="4">
        <f>AVERAGEIF(Sheet1!G:G,N5,Sheet1!V:V)</f>
        <v>96.066157407407417</v>
      </c>
      <c r="Q5">
        <v>200</v>
      </c>
      <c r="R5" s="4">
        <f>AVERAGEIF(Sheet1!F:F,Q5,Sheet1!V:V)</f>
        <v>91.927048611111161</v>
      </c>
    </row>
    <row r="6" spans="1:18" x14ac:dyDescent="0.35">
      <c r="A6" t="s">
        <v>25</v>
      </c>
      <c r="B6">
        <v>1</v>
      </c>
      <c r="C6">
        <v>200</v>
      </c>
      <c r="D6">
        <v>1</v>
      </c>
      <c r="E6">
        <v>36</v>
      </c>
      <c r="F6" s="4">
        <v>2.1644444444444439</v>
      </c>
      <c r="H6" t="s">
        <v>29</v>
      </c>
      <c r="I6" s="4">
        <f>AVERAGEIF(Sheet1!E:E,H6,Sheet1!V:V)</f>
        <v>156.30956597222223</v>
      </c>
      <c r="K6">
        <v>3</v>
      </c>
      <c r="L6" s="4">
        <f>AVERAGEIF(Sheet1!C:C,K6,Sheet1!V:V)</f>
        <v>66.038981481481471</v>
      </c>
    </row>
    <row r="7" spans="1:18" x14ac:dyDescent="0.35">
      <c r="A7" t="s">
        <v>25</v>
      </c>
      <c r="B7">
        <v>1</v>
      </c>
      <c r="C7">
        <v>200</v>
      </c>
      <c r="D7">
        <v>3</v>
      </c>
      <c r="E7">
        <v>36</v>
      </c>
      <c r="F7" s="4">
        <v>3.6113888888888885</v>
      </c>
      <c r="K7">
        <v>5</v>
      </c>
      <c r="L7" s="4">
        <f>AVERAGEIF(Sheet1!C:C,K7,Sheet1!V:V)</f>
        <v>94.098287037037053</v>
      </c>
    </row>
    <row r="8" spans="1:18" x14ac:dyDescent="0.35">
      <c r="A8" t="s">
        <v>25</v>
      </c>
      <c r="B8">
        <v>2</v>
      </c>
      <c r="C8">
        <v>50</v>
      </c>
      <c r="D8">
        <v>1</v>
      </c>
      <c r="E8">
        <v>36</v>
      </c>
      <c r="F8" s="4">
        <v>1.8136111111111113</v>
      </c>
    </row>
    <row r="9" spans="1:18" x14ac:dyDescent="0.35">
      <c r="A9" t="s">
        <v>25</v>
      </c>
      <c r="B9">
        <v>2</v>
      </c>
      <c r="C9">
        <v>50</v>
      </c>
      <c r="D9">
        <v>3</v>
      </c>
      <c r="E9">
        <v>36</v>
      </c>
      <c r="F9" s="4">
        <v>10.954444444444439</v>
      </c>
    </row>
    <row r="10" spans="1:18" x14ac:dyDescent="0.35">
      <c r="A10" t="s">
        <v>25</v>
      </c>
      <c r="B10">
        <v>2</v>
      </c>
      <c r="C10">
        <v>200</v>
      </c>
      <c r="D10">
        <v>1</v>
      </c>
      <c r="E10">
        <v>36</v>
      </c>
      <c r="F10" s="4">
        <v>1.8216666666666663</v>
      </c>
    </row>
    <row r="11" spans="1:18" x14ac:dyDescent="0.35">
      <c r="A11" t="s">
        <v>25</v>
      </c>
      <c r="B11">
        <v>2</v>
      </c>
      <c r="C11">
        <v>200</v>
      </c>
      <c r="D11">
        <v>3</v>
      </c>
      <c r="E11">
        <v>36</v>
      </c>
      <c r="F11" s="4">
        <v>30.93472222222222</v>
      </c>
    </row>
    <row r="12" spans="1:18" x14ac:dyDescent="0.35">
      <c r="A12" t="s">
        <v>25</v>
      </c>
      <c r="B12">
        <v>3</v>
      </c>
      <c r="C12">
        <v>50</v>
      </c>
      <c r="D12">
        <v>1</v>
      </c>
      <c r="E12">
        <v>36</v>
      </c>
      <c r="F12" s="4">
        <v>2.6658333333333335</v>
      </c>
    </row>
    <row r="13" spans="1:18" x14ac:dyDescent="0.35">
      <c r="A13" t="s">
        <v>25</v>
      </c>
      <c r="B13">
        <v>3</v>
      </c>
      <c r="C13">
        <v>50</v>
      </c>
      <c r="D13">
        <v>3</v>
      </c>
      <c r="E13">
        <v>36</v>
      </c>
      <c r="F13" s="4">
        <v>9.8272222222222236</v>
      </c>
    </row>
    <row r="14" spans="1:18" x14ac:dyDescent="0.35">
      <c r="A14" t="s">
        <v>25</v>
      </c>
      <c r="B14">
        <v>3</v>
      </c>
      <c r="C14">
        <v>200</v>
      </c>
      <c r="D14">
        <v>1</v>
      </c>
      <c r="E14">
        <v>36</v>
      </c>
      <c r="F14" s="4">
        <v>2.685277777777777</v>
      </c>
    </row>
    <row r="15" spans="1:18" x14ac:dyDescent="0.35">
      <c r="A15" t="s">
        <v>25</v>
      </c>
      <c r="B15">
        <v>3</v>
      </c>
      <c r="C15">
        <v>200</v>
      </c>
      <c r="D15">
        <v>3</v>
      </c>
      <c r="E15">
        <v>36</v>
      </c>
      <c r="F15" s="4">
        <v>11.187222222222223</v>
      </c>
    </row>
    <row r="16" spans="1:18" x14ac:dyDescent="0.35">
      <c r="A16" t="s">
        <v>25</v>
      </c>
      <c r="B16">
        <v>5</v>
      </c>
      <c r="C16">
        <v>50</v>
      </c>
      <c r="D16">
        <v>1</v>
      </c>
      <c r="E16">
        <v>36</v>
      </c>
      <c r="F16" s="4">
        <v>8.343055555555555</v>
      </c>
    </row>
    <row r="17" spans="1:6" x14ac:dyDescent="0.35">
      <c r="A17" t="s">
        <v>25</v>
      </c>
      <c r="B17">
        <v>5</v>
      </c>
      <c r="C17">
        <v>50</v>
      </c>
      <c r="D17">
        <v>3</v>
      </c>
      <c r="E17">
        <v>36</v>
      </c>
      <c r="F17" s="4">
        <v>17.001111111111115</v>
      </c>
    </row>
    <row r="18" spans="1:6" x14ac:dyDescent="0.35">
      <c r="A18" t="s">
        <v>25</v>
      </c>
      <c r="B18">
        <v>5</v>
      </c>
      <c r="C18">
        <v>200</v>
      </c>
      <c r="D18">
        <v>1</v>
      </c>
      <c r="E18">
        <v>36</v>
      </c>
      <c r="F18" s="4">
        <v>9.7066666666666688</v>
      </c>
    </row>
    <row r="19" spans="1:6" x14ac:dyDescent="0.35">
      <c r="A19" t="s">
        <v>25</v>
      </c>
      <c r="B19">
        <v>5</v>
      </c>
      <c r="C19">
        <v>200</v>
      </c>
      <c r="D19">
        <v>3</v>
      </c>
      <c r="E19">
        <v>36</v>
      </c>
      <c r="F19" s="4">
        <v>18.376666666666669</v>
      </c>
    </row>
    <row r="20" spans="1:6" x14ac:dyDescent="0.35">
      <c r="A20" t="s">
        <v>22</v>
      </c>
      <c r="B20">
        <v>1</v>
      </c>
      <c r="C20">
        <v>50</v>
      </c>
      <c r="D20">
        <v>1</v>
      </c>
      <c r="E20">
        <v>36</v>
      </c>
      <c r="F20" s="4">
        <v>6.0277777777777768</v>
      </c>
    </row>
    <row r="21" spans="1:6" x14ac:dyDescent="0.35">
      <c r="A21" t="s">
        <v>22</v>
      </c>
      <c r="B21">
        <v>1</v>
      </c>
      <c r="C21">
        <v>50</v>
      </c>
      <c r="D21">
        <v>3</v>
      </c>
      <c r="E21">
        <v>36</v>
      </c>
      <c r="F21" s="4">
        <v>17.628055555555552</v>
      </c>
    </row>
    <row r="22" spans="1:6" x14ac:dyDescent="0.35">
      <c r="A22" t="s">
        <v>22</v>
      </c>
      <c r="B22">
        <v>1</v>
      </c>
      <c r="C22">
        <v>200</v>
      </c>
      <c r="D22">
        <v>1</v>
      </c>
      <c r="E22">
        <v>36</v>
      </c>
      <c r="F22" s="4">
        <v>6.0100000000000016</v>
      </c>
    </row>
    <row r="23" spans="1:6" x14ac:dyDescent="0.35">
      <c r="A23" t="s">
        <v>22</v>
      </c>
      <c r="B23">
        <v>1</v>
      </c>
      <c r="C23">
        <v>200</v>
      </c>
      <c r="D23">
        <v>3</v>
      </c>
      <c r="E23">
        <v>36</v>
      </c>
      <c r="F23" s="4">
        <v>17.645000000000003</v>
      </c>
    </row>
    <row r="24" spans="1:6" x14ac:dyDescent="0.35">
      <c r="A24" t="s">
        <v>22</v>
      </c>
      <c r="B24">
        <v>2</v>
      </c>
      <c r="C24">
        <v>50</v>
      </c>
      <c r="D24">
        <v>1</v>
      </c>
      <c r="E24">
        <v>36</v>
      </c>
      <c r="F24" s="4">
        <v>9.5516666666666641</v>
      </c>
    </row>
    <row r="25" spans="1:6" x14ac:dyDescent="0.35">
      <c r="A25" t="s">
        <v>22</v>
      </c>
      <c r="B25">
        <v>2</v>
      </c>
      <c r="C25">
        <v>50</v>
      </c>
      <c r="D25">
        <v>3</v>
      </c>
      <c r="E25">
        <v>36</v>
      </c>
      <c r="F25" s="4">
        <v>28.261666666666667</v>
      </c>
    </row>
    <row r="26" spans="1:6" x14ac:dyDescent="0.35">
      <c r="A26" t="s">
        <v>22</v>
      </c>
      <c r="B26">
        <v>2</v>
      </c>
      <c r="C26">
        <v>200</v>
      </c>
      <c r="D26">
        <v>1</v>
      </c>
      <c r="E26">
        <v>36</v>
      </c>
      <c r="F26" s="4">
        <v>9.5413888888888874</v>
      </c>
    </row>
    <row r="27" spans="1:6" x14ac:dyDescent="0.35">
      <c r="A27" t="s">
        <v>22</v>
      </c>
      <c r="B27">
        <v>2</v>
      </c>
      <c r="C27">
        <v>200</v>
      </c>
      <c r="D27">
        <v>3</v>
      </c>
      <c r="E27">
        <v>36</v>
      </c>
      <c r="F27" s="4">
        <v>28.42444444444444</v>
      </c>
    </row>
    <row r="28" spans="1:6" x14ac:dyDescent="0.35">
      <c r="A28" t="s">
        <v>22</v>
      </c>
      <c r="B28">
        <v>3</v>
      </c>
      <c r="C28">
        <v>50</v>
      </c>
      <c r="D28">
        <v>1</v>
      </c>
      <c r="E28">
        <v>36</v>
      </c>
      <c r="F28" s="4">
        <v>13.780000000000003</v>
      </c>
    </row>
    <row r="29" spans="1:6" x14ac:dyDescent="0.35">
      <c r="A29" t="s">
        <v>22</v>
      </c>
      <c r="B29">
        <v>3</v>
      </c>
      <c r="C29">
        <v>50</v>
      </c>
      <c r="D29">
        <v>3</v>
      </c>
      <c r="E29">
        <v>36</v>
      </c>
      <c r="F29" s="4">
        <v>40.19916666666667</v>
      </c>
    </row>
    <row r="30" spans="1:6" x14ac:dyDescent="0.35">
      <c r="A30" t="s">
        <v>22</v>
      </c>
      <c r="B30">
        <v>3</v>
      </c>
      <c r="C30">
        <v>200</v>
      </c>
      <c r="D30">
        <v>1</v>
      </c>
      <c r="E30">
        <v>36</v>
      </c>
      <c r="F30" s="4">
        <v>16.900833333333331</v>
      </c>
    </row>
    <row r="31" spans="1:6" x14ac:dyDescent="0.35">
      <c r="A31" t="s">
        <v>22</v>
      </c>
      <c r="B31">
        <v>3</v>
      </c>
      <c r="C31">
        <v>200</v>
      </c>
      <c r="D31">
        <v>3</v>
      </c>
      <c r="E31">
        <v>36</v>
      </c>
      <c r="F31" s="4">
        <v>47.079444444444434</v>
      </c>
    </row>
    <row r="32" spans="1:6" x14ac:dyDescent="0.35">
      <c r="A32" t="s">
        <v>22</v>
      </c>
      <c r="B32">
        <v>5</v>
      </c>
      <c r="C32">
        <v>50</v>
      </c>
      <c r="D32">
        <v>1</v>
      </c>
      <c r="E32">
        <v>36</v>
      </c>
      <c r="F32" s="4">
        <v>18.198055555555559</v>
      </c>
    </row>
    <row r="33" spans="1:6" x14ac:dyDescent="0.35">
      <c r="A33" t="s">
        <v>22</v>
      </c>
      <c r="B33">
        <v>5</v>
      </c>
      <c r="C33">
        <v>50</v>
      </c>
      <c r="D33">
        <v>3</v>
      </c>
      <c r="E33">
        <v>36</v>
      </c>
      <c r="F33" s="4">
        <v>54.144722222222235</v>
      </c>
    </row>
    <row r="34" spans="1:6" x14ac:dyDescent="0.35">
      <c r="A34" t="s">
        <v>22</v>
      </c>
      <c r="B34">
        <v>5</v>
      </c>
      <c r="C34">
        <v>200</v>
      </c>
      <c r="D34">
        <v>1</v>
      </c>
      <c r="E34">
        <v>36</v>
      </c>
      <c r="F34" s="4">
        <v>31.289999999999996</v>
      </c>
    </row>
    <row r="35" spans="1:6" x14ac:dyDescent="0.35">
      <c r="A35" t="s">
        <v>22</v>
      </c>
      <c r="B35">
        <v>5</v>
      </c>
      <c r="C35">
        <v>200</v>
      </c>
      <c r="D35">
        <v>3</v>
      </c>
      <c r="E35">
        <v>36</v>
      </c>
      <c r="F35" s="4">
        <v>98.517222222222216</v>
      </c>
    </row>
    <row r="36" spans="1:6" x14ac:dyDescent="0.35">
      <c r="A36" t="s">
        <v>29</v>
      </c>
      <c r="B36">
        <v>1</v>
      </c>
      <c r="C36">
        <v>50</v>
      </c>
      <c r="D36">
        <v>1</v>
      </c>
      <c r="E36">
        <v>36</v>
      </c>
      <c r="F36" s="4">
        <v>28.310277777777781</v>
      </c>
    </row>
    <row r="37" spans="1:6" x14ac:dyDescent="0.35">
      <c r="A37" t="s">
        <v>29</v>
      </c>
      <c r="B37">
        <v>1</v>
      </c>
      <c r="C37">
        <v>50</v>
      </c>
      <c r="D37">
        <v>3</v>
      </c>
      <c r="E37">
        <v>36</v>
      </c>
      <c r="F37" s="4">
        <v>83.306111111111107</v>
      </c>
    </row>
    <row r="38" spans="1:6" x14ac:dyDescent="0.35">
      <c r="A38" t="s">
        <v>29</v>
      </c>
      <c r="B38">
        <v>1</v>
      </c>
      <c r="C38">
        <v>200</v>
      </c>
      <c r="D38">
        <v>1</v>
      </c>
      <c r="E38">
        <v>36</v>
      </c>
      <c r="F38" s="4">
        <v>82.801111111111084</v>
      </c>
    </row>
    <row r="39" spans="1:6" x14ac:dyDescent="0.35">
      <c r="A39" t="s">
        <v>29</v>
      </c>
      <c r="B39">
        <v>1</v>
      </c>
      <c r="C39">
        <v>200</v>
      </c>
      <c r="D39">
        <v>3</v>
      </c>
      <c r="E39">
        <v>36</v>
      </c>
      <c r="F39" s="4">
        <v>246.93555555555551</v>
      </c>
    </row>
    <row r="40" spans="1:6" x14ac:dyDescent="0.35">
      <c r="A40" t="s">
        <v>29</v>
      </c>
      <c r="B40">
        <v>2</v>
      </c>
      <c r="C40">
        <v>50</v>
      </c>
      <c r="D40">
        <v>1</v>
      </c>
      <c r="E40">
        <v>36</v>
      </c>
      <c r="F40" s="4">
        <v>34.776944444444446</v>
      </c>
    </row>
    <row r="41" spans="1:6" x14ac:dyDescent="0.35">
      <c r="A41" t="s">
        <v>29</v>
      </c>
      <c r="B41">
        <v>2</v>
      </c>
      <c r="C41">
        <v>50</v>
      </c>
      <c r="D41">
        <v>3</v>
      </c>
      <c r="E41">
        <v>36</v>
      </c>
      <c r="F41" s="4">
        <v>101.93</v>
      </c>
    </row>
    <row r="42" spans="1:6" x14ac:dyDescent="0.35">
      <c r="A42" t="s">
        <v>29</v>
      </c>
      <c r="B42">
        <v>2</v>
      </c>
      <c r="C42">
        <v>200</v>
      </c>
      <c r="D42">
        <v>1</v>
      </c>
      <c r="E42">
        <v>36</v>
      </c>
      <c r="F42" s="4">
        <v>103.83583333333334</v>
      </c>
    </row>
    <row r="43" spans="1:6" x14ac:dyDescent="0.35">
      <c r="A43" t="s">
        <v>29</v>
      </c>
      <c r="B43">
        <v>2</v>
      </c>
      <c r="C43">
        <v>200</v>
      </c>
      <c r="D43">
        <v>3</v>
      </c>
      <c r="E43">
        <v>36</v>
      </c>
      <c r="F43" s="4">
        <v>297.31250000000006</v>
      </c>
    </row>
    <row r="44" spans="1:6" x14ac:dyDescent="0.35">
      <c r="A44" t="s">
        <v>29</v>
      </c>
      <c r="B44">
        <v>3</v>
      </c>
      <c r="C44">
        <v>50</v>
      </c>
      <c r="D44">
        <v>1</v>
      </c>
      <c r="E44">
        <v>36</v>
      </c>
      <c r="F44" s="4">
        <v>41.348333333333329</v>
      </c>
    </row>
    <row r="45" spans="1:6" x14ac:dyDescent="0.35">
      <c r="A45" t="s">
        <v>29</v>
      </c>
      <c r="B45">
        <v>3</v>
      </c>
      <c r="C45">
        <v>50</v>
      </c>
      <c r="D45">
        <v>3</v>
      </c>
      <c r="E45">
        <v>36</v>
      </c>
      <c r="F45" s="4">
        <v>122.24166666666666</v>
      </c>
    </row>
    <row r="46" spans="1:6" x14ac:dyDescent="0.35">
      <c r="A46" t="s">
        <v>29</v>
      </c>
      <c r="B46">
        <v>3</v>
      </c>
      <c r="C46">
        <v>200</v>
      </c>
      <c r="D46">
        <v>1</v>
      </c>
      <c r="E46">
        <v>36</v>
      </c>
      <c r="F46" s="4">
        <v>122.29444444444442</v>
      </c>
    </row>
    <row r="47" spans="1:6" x14ac:dyDescent="0.35">
      <c r="A47" t="s">
        <v>29</v>
      </c>
      <c r="B47">
        <v>3</v>
      </c>
      <c r="C47">
        <v>200</v>
      </c>
      <c r="D47">
        <v>3</v>
      </c>
      <c r="E47">
        <v>36</v>
      </c>
      <c r="F47" s="4">
        <v>362.25833333333338</v>
      </c>
    </row>
    <row r="48" spans="1:6" x14ac:dyDescent="0.35">
      <c r="A48" t="s">
        <v>29</v>
      </c>
      <c r="B48">
        <v>5</v>
      </c>
      <c r="C48">
        <v>50</v>
      </c>
      <c r="D48">
        <v>1</v>
      </c>
      <c r="E48">
        <v>36</v>
      </c>
      <c r="F48" s="4">
        <v>55.103888888888889</v>
      </c>
    </row>
    <row r="49" spans="1:6" x14ac:dyDescent="0.35">
      <c r="A49" t="s">
        <v>29</v>
      </c>
      <c r="B49">
        <v>5</v>
      </c>
      <c r="C49">
        <v>50</v>
      </c>
      <c r="D49">
        <v>3</v>
      </c>
      <c r="E49">
        <v>36</v>
      </c>
      <c r="F49" s="4">
        <v>163.58305555555552</v>
      </c>
    </row>
    <row r="50" spans="1:6" x14ac:dyDescent="0.35">
      <c r="A50" t="s">
        <v>29</v>
      </c>
      <c r="B50">
        <v>5</v>
      </c>
      <c r="C50">
        <v>200</v>
      </c>
      <c r="D50">
        <v>1</v>
      </c>
      <c r="E50">
        <v>36</v>
      </c>
      <c r="F50" s="4">
        <v>164.02611111111105</v>
      </c>
    </row>
    <row r="51" spans="1:6" x14ac:dyDescent="0.35">
      <c r="A51" t="s">
        <v>29</v>
      </c>
      <c r="B51">
        <v>5</v>
      </c>
      <c r="C51">
        <v>200</v>
      </c>
      <c r="D51">
        <v>3</v>
      </c>
      <c r="E51">
        <v>36</v>
      </c>
      <c r="F51" s="4">
        <v>490.88888888888897</v>
      </c>
    </row>
    <row r="52" spans="1:6" x14ac:dyDescent="0.35">
      <c r="A52" s="8" t="s">
        <v>56</v>
      </c>
      <c r="B52" s="8"/>
      <c r="C52" s="8"/>
      <c r="D52" s="8"/>
      <c r="E52" s="8">
        <v>1728</v>
      </c>
      <c r="F52" s="9">
        <v>64.177123842592607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CC7D-2E2B-4B45-A7A7-C745037EFF4A}">
  <dimension ref="A1:F61"/>
  <sheetViews>
    <sheetView zoomScale="51" zoomScaleNormal="51" workbookViewId="0">
      <selection activeCell="F19" sqref="F19"/>
    </sheetView>
  </sheetViews>
  <sheetFormatPr defaultRowHeight="14.5" x14ac:dyDescent="0.35"/>
  <cols>
    <col min="1" max="1" width="5.453125" customWidth="1"/>
    <col min="2" max="2" width="40" customWidth="1"/>
    <col min="3" max="3" width="112.7265625" customWidth="1"/>
    <col min="4" max="4" width="20" customWidth="1"/>
    <col min="5" max="5" width="58.1796875" style="11" customWidth="1"/>
    <col min="6" max="6" width="8.7265625" customWidth="1"/>
  </cols>
  <sheetData>
    <row r="1" spans="1:6" ht="18.5" x14ac:dyDescent="0.45">
      <c r="A1" s="25" t="s">
        <v>57</v>
      </c>
      <c r="B1" s="19"/>
      <c r="C1" s="19"/>
      <c r="D1" s="19"/>
      <c r="E1" s="19"/>
      <c r="F1" s="19"/>
    </row>
    <row r="3" spans="1:6" ht="16" x14ac:dyDescent="0.4">
      <c r="A3" s="24" t="s">
        <v>58</v>
      </c>
      <c r="B3" s="19"/>
      <c r="C3" s="19"/>
      <c r="D3" s="19"/>
      <c r="E3" s="19"/>
    </row>
    <row r="4" spans="1:6" x14ac:dyDescent="0.35">
      <c r="A4" s="6" t="s">
        <v>31</v>
      </c>
      <c r="B4" s="6" t="s">
        <v>54</v>
      </c>
      <c r="C4" s="6" t="s">
        <v>59</v>
      </c>
      <c r="D4" s="6" t="s">
        <v>60</v>
      </c>
      <c r="E4" s="10"/>
    </row>
    <row r="5" spans="1:6" x14ac:dyDescent="0.35">
      <c r="A5">
        <v>1</v>
      </c>
      <c r="B5">
        <v>432</v>
      </c>
      <c r="C5">
        <v>37</v>
      </c>
      <c r="D5" s="4">
        <v>8.5648148148148149</v>
      </c>
    </row>
    <row r="6" spans="1:6" x14ac:dyDescent="0.35">
      <c r="A6">
        <v>2</v>
      </c>
      <c r="B6">
        <v>432</v>
      </c>
      <c r="C6">
        <v>118</v>
      </c>
      <c r="D6" s="4">
        <v>27.314814814814813</v>
      </c>
    </row>
    <row r="7" spans="1:6" x14ac:dyDescent="0.35">
      <c r="A7">
        <v>3</v>
      </c>
      <c r="B7">
        <v>432</v>
      </c>
      <c r="C7">
        <v>111</v>
      </c>
      <c r="D7" s="4">
        <v>25.694444444444443</v>
      </c>
    </row>
    <row r="8" spans="1:6" x14ac:dyDescent="0.35">
      <c r="A8">
        <v>4</v>
      </c>
      <c r="B8">
        <v>432</v>
      </c>
      <c r="C8">
        <v>171</v>
      </c>
      <c r="D8" s="4">
        <v>39.583333333333329</v>
      </c>
    </row>
    <row r="10" spans="1:6" ht="16" x14ac:dyDescent="0.4">
      <c r="A10" s="24" t="s">
        <v>61</v>
      </c>
      <c r="B10" s="19"/>
      <c r="C10" s="19"/>
      <c r="D10" s="19"/>
    </row>
    <row r="11" spans="1:6" x14ac:dyDescent="0.35">
      <c r="A11" s="6" t="s">
        <v>36</v>
      </c>
      <c r="B11" s="6" t="s">
        <v>54</v>
      </c>
      <c r="C11" s="6" t="s">
        <v>59</v>
      </c>
      <c r="D11" s="6" t="s">
        <v>60</v>
      </c>
    </row>
    <row r="12" spans="1:6" x14ac:dyDescent="0.35">
      <c r="A12" t="s">
        <v>25</v>
      </c>
      <c r="B12">
        <v>576</v>
      </c>
      <c r="C12">
        <v>232</v>
      </c>
      <c r="D12" s="4">
        <v>40.277777777777779</v>
      </c>
      <c r="E12" s="11" t="s">
        <v>112</v>
      </c>
    </row>
    <row r="13" spans="1:6" x14ac:dyDescent="0.35">
      <c r="A13" t="s">
        <v>22</v>
      </c>
      <c r="B13">
        <v>576</v>
      </c>
      <c r="C13">
        <v>36</v>
      </c>
      <c r="D13" s="4">
        <v>6.25</v>
      </c>
    </row>
    <row r="14" spans="1:6" x14ac:dyDescent="0.35">
      <c r="A14" t="s">
        <v>29</v>
      </c>
      <c r="B14">
        <v>576</v>
      </c>
      <c r="C14">
        <v>169</v>
      </c>
      <c r="D14" s="4">
        <v>29.340277777777779</v>
      </c>
    </row>
    <row r="16" spans="1:6" ht="16" x14ac:dyDescent="0.4">
      <c r="A16" s="24" t="s">
        <v>62</v>
      </c>
      <c r="B16" s="19"/>
      <c r="C16" s="19"/>
      <c r="D16" s="19"/>
    </row>
    <row r="17" spans="1:5" x14ac:dyDescent="0.35">
      <c r="A17" s="6" t="s">
        <v>53</v>
      </c>
      <c r="B17" s="6" t="s">
        <v>54</v>
      </c>
      <c r="C17" s="6" t="s">
        <v>59</v>
      </c>
      <c r="D17" s="6" t="s">
        <v>60</v>
      </c>
    </row>
    <row r="18" spans="1:5" x14ac:dyDescent="0.35">
      <c r="A18">
        <v>1</v>
      </c>
      <c r="B18">
        <v>864</v>
      </c>
      <c r="C18">
        <v>284</v>
      </c>
      <c r="D18" s="4">
        <v>32.870370370370374</v>
      </c>
      <c r="E18" s="11">
        <v>3</v>
      </c>
    </row>
    <row r="19" spans="1:5" x14ac:dyDescent="0.35">
      <c r="A19">
        <v>3</v>
      </c>
      <c r="B19">
        <v>864</v>
      </c>
      <c r="C19">
        <v>153</v>
      </c>
      <c r="D19" s="4">
        <v>17.708333333333336</v>
      </c>
    </row>
    <row r="21" spans="1:5" ht="16" x14ac:dyDescent="0.4">
      <c r="A21" s="24" t="s">
        <v>63</v>
      </c>
      <c r="B21" s="19"/>
      <c r="C21" s="19"/>
      <c r="D21" s="19"/>
    </row>
    <row r="22" spans="1:5" x14ac:dyDescent="0.35">
      <c r="A22" s="6" t="s">
        <v>37</v>
      </c>
      <c r="B22" s="6" t="s">
        <v>54</v>
      </c>
      <c r="C22" s="6" t="s">
        <v>59</v>
      </c>
      <c r="D22" s="6" t="s">
        <v>60</v>
      </c>
    </row>
    <row r="23" spans="1:5" x14ac:dyDescent="0.35">
      <c r="A23">
        <v>1</v>
      </c>
      <c r="B23">
        <v>432</v>
      </c>
      <c r="C23">
        <v>126</v>
      </c>
      <c r="D23" s="4">
        <v>29.166666666666668</v>
      </c>
    </row>
    <row r="24" spans="1:5" x14ac:dyDescent="0.35">
      <c r="A24">
        <v>2</v>
      </c>
      <c r="B24">
        <v>432</v>
      </c>
      <c r="C24">
        <v>76</v>
      </c>
      <c r="D24" s="4">
        <v>17.592592592592592</v>
      </c>
      <c r="E24" s="11">
        <v>2</v>
      </c>
    </row>
    <row r="25" spans="1:5" x14ac:dyDescent="0.35">
      <c r="A25">
        <v>3</v>
      </c>
      <c r="B25">
        <v>432</v>
      </c>
      <c r="C25">
        <v>128</v>
      </c>
      <c r="D25" s="4">
        <v>29.629629629629626</v>
      </c>
    </row>
    <row r="26" spans="1:5" x14ac:dyDescent="0.35">
      <c r="A26">
        <v>5</v>
      </c>
      <c r="B26">
        <v>432</v>
      </c>
      <c r="C26">
        <v>107</v>
      </c>
      <c r="D26" s="4">
        <v>24.768518518518519</v>
      </c>
    </row>
    <row r="28" spans="1:5" ht="16" x14ac:dyDescent="0.4">
      <c r="A28" s="24" t="s">
        <v>79</v>
      </c>
      <c r="B28" s="19"/>
      <c r="C28" s="19"/>
      <c r="D28" s="19"/>
      <c r="E28"/>
    </row>
    <row r="29" spans="1:5" x14ac:dyDescent="0.35">
      <c r="A29" s="6" t="s">
        <v>52</v>
      </c>
      <c r="B29" s="6" t="s">
        <v>54</v>
      </c>
      <c r="C29" s="6" t="s">
        <v>59</v>
      </c>
      <c r="D29" s="6" t="s">
        <v>60</v>
      </c>
      <c r="E29"/>
    </row>
    <row r="30" spans="1:5" x14ac:dyDescent="0.35">
      <c r="A30">
        <v>50</v>
      </c>
      <c r="B30">
        <v>864</v>
      </c>
      <c r="C30">
        <v>226</v>
      </c>
      <c r="D30" s="4">
        <v>26.157407407407408</v>
      </c>
      <c r="E30"/>
    </row>
    <row r="31" spans="1:5" ht="12.5" customHeight="1" x14ac:dyDescent="0.35">
      <c r="A31">
        <v>200</v>
      </c>
      <c r="B31">
        <v>864</v>
      </c>
      <c r="C31">
        <v>211</v>
      </c>
      <c r="D31" s="4">
        <v>24.421296296296298</v>
      </c>
      <c r="E31"/>
    </row>
    <row r="32" spans="1:5" ht="16" x14ac:dyDescent="0.4">
      <c r="A32" s="24" t="s">
        <v>110</v>
      </c>
      <c r="B32" s="19"/>
      <c r="C32" s="19"/>
      <c r="D32" s="19"/>
      <c r="E32"/>
    </row>
    <row r="33" spans="1:5" x14ac:dyDescent="0.35">
      <c r="A33" s="6" t="s">
        <v>102</v>
      </c>
      <c r="B33" s="6" t="s">
        <v>54</v>
      </c>
      <c r="C33" s="6" t="s">
        <v>59</v>
      </c>
      <c r="D33" s="6" t="s">
        <v>60</v>
      </c>
      <c r="E33"/>
    </row>
    <row r="34" spans="1:5" x14ac:dyDescent="0.35">
      <c r="A34">
        <v>2</v>
      </c>
      <c r="B34">
        <f>COUNTIF(Sheet1!D:D,A34)</f>
        <v>576</v>
      </c>
      <c r="C34">
        <f>COUNTIFS(Sheet1!D:D,A34,Sheet1!T:T,TRUE)</f>
        <v>141</v>
      </c>
      <c r="D34" s="4">
        <f>C34/B34*100</f>
        <v>24.479166666666664</v>
      </c>
      <c r="E34">
        <v>2</v>
      </c>
    </row>
    <row r="35" spans="1:5" x14ac:dyDescent="0.35">
      <c r="A35">
        <v>5</v>
      </c>
      <c r="B35">
        <f>COUNTIF(Sheet1!D:D,A35)</f>
        <v>576</v>
      </c>
      <c r="C35">
        <f>COUNTIFS(Sheet1!D:D,A35,Sheet1!T:T,TRUE)</f>
        <v>149</v>
      </c>
      <c r="D35" s="4">
        <f>C35/B35*100</f>
        <v>25.868055555555557</v>
      </c>
      <c r="E35"/>
    </row>
    <row r="36" spans="1:5" x14ac:dyDescent="0.35">
      <c r="A36">
        <v>10</v>
      </c>
      <c r="B36">
        <f>COUNTIF(Sheet1!D:D,A36)</f>
        <v>576</v>
      </c>
      <c r="C36">
        <f>COUNTIFS(Sheet1!D:D,A36,Sheet1!T:T,TRUE)</f>
        <v>147</v>
      </c>
      <c r="D36" s="4">
        <f>C36/B36*100</f>
        <v>25.520833333333332</v>
      </c>
      <c r="E36"/>
    </row>
    <row r="37" spans="1:5" ht="16" x14ac:dyDescent="0.4">
      <c r="A37" s="24" t="s">
        <v>111</v>
      </c>
      <c r="B37" s="19"/>
      <c r="C37" s="19"/>
      <c r="D37" s="19"/>
      <c r="E37"/>
    </row>
    <row r="38" spans="1:5" x14ac:dyDescent="0.35">
      <c r="A38" s="6" t="s">
        <v>109</v>
      </c>
      <c r="B38" s="6" t="s">
        <v>54</v>
      </c>
      <c r="C38" s="6" t="s">
        <v>59</v>
      </c>
      <c r="D38" s="6" t="s">
        <v>60</v>
      </c>
    </row>
    <row r="39" spans="1:5" x14ac:dyDescent="0.35">
      <c r="A39" t="s">
        <v>23</v>
      </c>
      <c r="B39">
        <f>COUNTIF(Sheet1!I:I,A39)</f>
        <v>432</v>
      </c>
      <c r="C39">
        <f>COUNTIFS(Sheet1!I:I,A39,Sheet1!T:T,TRUE)</f>
        <v>37</v>
      </c>
      <c r="D39" s="4">
        <f>C39/B39*100</f>
        <v>8.5648148148148149</v>
      </c>
    </row>
    <row r="40" spans="1:5" x14ac:dyDescent="0.35">
      <c r="A40" t="s">
        <v>26</v>
      </c>
      <c r="B40">
        <f>COUNTIF(Sheet1!I:I,A40)</f>
        <v>1296</v>
      </c>
      <c r="C40">
        <f>COUNTIFS(Sheet1!I:I,A40,Sheet1!T:T,TRUE)</f>
        <v>400</v>
      </c>
      <c r="D40" s="4">
        <f>C40/B40*100</f>
        <v>30.864197530864196</v>
      </c>
    </row>
    <row r="44" spans="1:5" ht="16" x14ac:dyDescent="0.4">
      <c r="A44" s="23" t="s">
        <v>80</v>
      </c>
      <c r="B44" s="23"/>
    </row>
    <row r="45" spans="1:5" x14ac:dyDescent="0.35">
      <c r="A45" s="6" t="s">
        <v>81</v>
      </c>
      <c r="B45" s="6" t="s">
        <v>82</v>
      </c>
      <c r="C45" s="6" t="s">
        <v>83</v>
      </c>
    </row>
    <row r="46" spans="1:5" ht="29" x14ac:dyDescent="0.35">
      <c r="A46" s="12">
        <v>1</v>
      </c>
      <c r="B46" s="13" t="s">
        <v>84</v>
      </c>
      <c r="C46" s="12" t="s">
        <v>85</v>
      </c>
    </row>
    <row r="47" spans="1:5" x14ac:dyDescent="0.35">
      <c r="A47" s="12">
        <v>3</v>
      </c>
      <c r="B47" s="13" t="s">
        <v>86</v>
      </c>
      <c r="C47" s="12" t="s">
        <v>87</v>
      </c>
    </row>
    <row r="48" spans="1:5" ht="29" x14ac:dyDescent="0.35">
      <c r="A48" s="12">
        <v>4</v>
      </c>
      <c r="B48" s="13" t="s">
        <v>88</v>
      </c>
      <c r="C48" s="12" t="s">
        <v>89</v>
      </c>
    </row>
    <row r="49" spans="1:3" ht="29" x14ac:dyDescent="0.35">
      <c r="A49" s="12">
        <v>5</v>
      </c>
      <c r="B49" s="13" t="s">
        <v>90</v>
      </c>
      <c r="C49" s="12" t="s">
        <v>91</v>
      </c>
    </row>
    <row r="50" spans="1:3" ht="29" x14ac:dyDescent="0.35">
      <c r="A50" s="12">
        <v>6</v>
      </c>
      <c r="B50" s="13" t="s">
        <v>105</v>
      </c>
      <c r="C50" s="12" t="s">
        <v>106</v>
      </c>
    </row>
    <row r="51" spans="1:3" ht="29" x14ac:dyDescent="0.35">
      <c r="A51" s="12">
        <v>7</v>
      </c>
      <c r="B51" s="13" t="s">
        <v>92</v>
      </c>
      <c r="C51" s="12" t="s">
        <v>93</v>
      </c>
    </row>
    <row r="52" spans="1:3" ht="29" x14ac:dyDescent="0.35">
      <c r="A52" s="12">
        <v>8</v>
      </c>
      <c r="B52" s="13" t="s">
        <v>94</v>
      </c>
      <c r="C52" s="12" t="s">
        <v>95</v>
      </c>
    </row>
    <row r="53" spans="1:3" x14ac:dyDescent="0.35">
      <c r="A53" s="12">
        <v>9</v>
      </c>
      <c r="B53" s="14" t="s">
        <v>96</v>
      </c>
      <c r="C53" s="14" t="s">
        <v>97</v>
      </c>
    </row>
    <row r="54" spans="1:3" x14ac:dyDescent="0.35">
      <c r="A54" s="12"/>
      <c r="B54" s="13"/>
      <c r="C54" s="12"/>
    </row>
    <row r="61" spans="1:3" x14ac:dyDescent="0.35">
      <c r="A61" s="17"/>
    </row>
  </sheetData>
  <mergeCells count="9">
    <mergeCell ref="A44:B44"/>
    <mergeCell ref="A32:D32"/>
    <mergeCell ref="A37:D37"/>
    <mergeCell ref="A1:F1"/>
    <mergeCell ref="A3:E3"/>
    <mergeCell ref="A10:D10"/>
    <mergeCell ref="A16:D16"/>
    <mergeCell ref="A21:D21"/>
    <mergeCell ref="A28:D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9E0E-2595-4687-934A-C6A053E4E43F}">
  <dimension ref="A1:F52"/>
  <sheetViews>
    <sheetView zoomScale="57" workbookViewId="0">
      <selection activeCell="F20" sqref="F20"/>
    </sheetView>
  </sheetViews>
  <sheetFormatPr defaultRowHeight="14.5" x14ac:dyDescent="0.35"/>
  <cols>
    <col min="1" max="1" width="27.26953125" customWidth="1"/>
    <col min="2" max="5" width="23.6328125" customWidth="1"/>
  </cols>
  <sheetData>
    <row r="1" spans="1:6" ht="18.5" x14ac:dyDescent="0.45">
      <c r="A1" s="20" t="s">
        <v>64</v>
      </c>
      <c r="B1" s="19"/>
      <c r="C1" s="19"/>
      <c r="D1" s="19"/>
      <c r="E1" s="19"/>
      <c r="F1" s="19"/>
    </row>
    <row r="3" spans="1:6" ht="16" x14ac:dyDescent="0.4">
      <c r="A3" s="18" t="s">
        <v>65</v>
      </c>
      <c r="B3" s="19"/>
      <c r="C3" s="19"/>
      <c r="D3" s="19"/>
      <c r="E3" s="19"/>
    </row>
    <row r="4" spans="1:6" x14ac:dyDescent="0.35">
      <c r="A4" s="6" t="s">
        <v>31</v>
      </c>
      <c r="B4" s="6" t="s">
        <v>54</v>
      </c>
      <c r="C4" s="6" t="s">
        <v>66</v>
      </c>
      <c r="D4" s="6" t="s">
        <v>67</v>
      </c>
      <c r="E4" s="6" t="s">
        <v>68</v>
      </c>
    </row>
    <row r="5" spans="1:6" x14ac:dyDescent="0.35">
      <c r="A5">
        <v>1</v>
      </c>
      <c r="B5">
        <v>432</v>
      </c>
      <c r="C5">
        <v>36</v>
      </c>
      <c r="D5">
        <v>396</v>
      </c>
      <c r="E5" s="4">
        <v>8.3333333333333321</v>
      </c>
    </row>
    <row r="6" spans="1:6" x14ac:dyDescent="0.35">
      <c r="A6">
        <v>2</v>
      </c>
      <c r="B6">
        <v>432</v>
      </c>
      <c r="C6">
        <v>126</v>
      </c>
      <c r="D6">
        <v>306</v>
      </c>
      <c r="E6" s="4">
        <v>29.166666666666668</v>
      </c>
    </row>
    <row r="7" spans="1:6" x14ac:dyDescent="0.35">
      <c r="A7">
        <v>3</v>
      </c>
      <c r="B7">
        <v>432</v>
      </c>
      <c r="C7">
        <v>116</v>
      </c>
      <c r="D7">
        <v>316</v>
      </c>
      <c r="E7" s="4">
        <v>26.851851851851855</v>
      </c>
    </row>
    <row r="8" spans="1:6" x14ac:dyDescent="0.35">
      <c r="A8">
        <v>4</v>
      </c>
      <c r="B8">
        <v>432</v>
      </c>
      <c r="C8">
        <v>261</v>
      </c>
      <c r="D8">
        <v>171</v>
      </c>
      <c r="E8" s="4">
        <v>60.416666666666664</v>
      </c>
    </row>
    <row r="10" spans="1:6" x14ac:dyDescent="0.35">
      <c r="A10" s="21" t="s">
        <v>69</v>
      </c>
      <c r="B10" s="19"/>
      <c r="C10" s="19"/>
      <c r="D10" s="19"/>
      <c r="E10" s="19"/>
    </row>
    <row r="12" spans="1:6" ht="16" x14ac:dyDescent="0.4">
      <c r="A12" s="18" t="s">
        <v>70</v>
      </c>
      <c r="B12" s="19"/>
      <c r="C12" s="19"/>
      <c r="D12" s="19"/>
    </row>
    <row r="13" spans="1:6" x14ac:dyDescent="0.35">
      <c r="A13" s="6" t="s">
        <v>36</v>
      </c>
      <c r="B13" s="6" t="s">
        <v>54</v>
      </c>
      <c r="C13" s="6" t="s">
        <v>71</v>
      </c>
      <c r="D13" s="6" t="s">
        <v>68</v>
      </c>
    </row>
    <row r="14" spans="1:6" x14ac:dyDescent="0.35">
      <c r="A14" t="s">
        <v>25</v>
      </c>
      <c r="B14">
        <v>576</v>
      </c>
      <c r="C14">
        <v>188</v>
      </c>
      <c r="D14" s="4">
        <v>32.638888888888893</v>
      </c>
    </row>
    <row r="15" spans="1:6" x14ac:dyDescent="0.35">
      <c r="A15" t="s">
        <v>22</v>
      </c>
      <c r="B15">
        <v>576</v>
      </c>
      <c r="C15">
        <v>177</v>
      </c>
      <c r="D15" s="4">
        <v>30.729166666666668</v>
      </c>
      <c r="F15" t="s">
        <v>113</v>
      </c>
    </row>
    <row r="16" spans="1:6" x14ac:dyDescent="0.35">
      <c r="A16" t="s">
        <v>29</v>
      </c>
      <c r="B16">
        <v>576</v>
      </c>
      <c r="C16">
        <v>174</v>
      </c>
      <c r="D16" s="4">
        <v>30.208333333333332</v>
      </c>
    </row>
    <row r="18" spans="1:6" x14ac:dyDescent="0.35">
      <c r="A18" s="21" t="s">
        <v>72</v>
      </c>
      <c r="B18" s="19"/>
      <c r="C18" s="19"/>
      <c r="D18" s="19"/>
    </row>
    <row r="20" spans="1:6" ht="16" x14ac:dyDescent="0.4">
      <c r="A20" s="18" t="s">
        <v>73</v>
      </c>
      <c r="B20" s="19"/>
      <c r="C20" s="19"/>
      <c r="D20" s="19"/>
    </row>
    <row r="21" spans="1:6" x14ac:dyDescent="0.35">
      <c r="A21" s="6" t="s">
        <v>37</v>
      </c>
      <c r="B21" s="6" t="s">
        <v>54</v>
      </c>
      <c r="C21" s="6" t="s">
        <v>71</v>
      </c>
      <c r="D21" s="6" t="s">
        <v>68</v>
      </c>
    </row>
    <row r="22" spans="1:6" x14ac:dyDescent="0.35">
      <c r="A22">
        <v>1</v>
      </c>
      <c r="B22">
        <v>432</v>
      </c>
      <c r="C22">
        <v>114</v>
      </c>
      <c r="D22" s="4">
        <v>26.388888888888889</v>
      </c>
      <c r="F22">
        <v>3</v>
      </c>
    </row>
    <row r="23" spans="1:6" x14ac:dyDescent="0.35">
      <c r="A23">
        <v>2</v>
      </c>
      <c r="B23">
        <v>432</v>
      </c>
      <c r="C23">
        <v>129</v>
      </c>
      <c r="D23" s="4">
        <v>29.861111111111111</v>
      </c>
    </row>
    <row r="24" spans="1:6" x14ac:dyDescent="0.35">
      <c r="A24">
        <v>3</v>
      </c>
      <c r="B24">
        <v>432</v>
      </c>
      <c r="C24">
        <v>150</v>
      </c>
      <c r="D24" s="4">
        <v>34.722222222222221</v>
      </c>
    </row>
    <row r="25" spans="1:6" x14ac:dyDescent="0.35">
      <c r="A25">
        <v>5</v>
      </c>
      <c r="B25">
        <v>432</v>
      </c>
      <c r="C25">
        <v>146</v>
      </c>
      <c r="D25" s="4">
        <v>33.796296296296298</v>
      </c>
    </row>
    <row r="27" spans="1:6" ht="16" x14ac:dyDescent="0.4">
      <c r="A27" s="18" t="s">
        <v>74</v>
      </c>
      <c r="B27" s="19"/>
      <c r="C27" s="19"/>
      <c r="D27" s="19"/>
    </row>
    <row r="28" spans="1:6" x14ac:dyDescent="0.35">
      <c r="A28" s="6" t="s">
        <v>53</v>
      </c>
      <c r="B28" s="6" t="s">
        <v>54</v>
      </c>
      <c r="C28" s="6" t="s">
        <v>71</v>
      </c>
      <c r="D28" s="6" t="s">
        <v>68</v>
      </c>
    </row>
    <row r="29" spans="1:6" x14ac:dyDescent="0.35">
      <c r="A29">
        <v>1</v>
      </c>
      <c r="B29">
        <v>864</v>
      </c>
      <c r="C29">
        <v>236</v>
      </c>
      <c r="D29" s="4">
        <v>27.314814814814813</v>
      </c>
      <c r="F29">
        <v>3</v>
      </c>
    </row>
    <row r="30" spans="1:6" x14ac:dyDescent="0.35">
      <c r="A30">
        <v>3</v>
      </c>
      <c r="B30">
        <v>864</v>
      </c>
      <c r="C30">
        <v>303</v>
      </c>
      <c r="D30" s="4">
        <v>35.069444444444443</v>
      </c>
    </row>
    <row r="32" spans="1:6" ht="16" x14ac:dyDescent="0.4">
      <c r="A32" s="18" t="s">
        <v>100</v>
      </c>
      <c r="B32" s="19"/>
      <c r="C32" s="19"/>
      <c r="D32" s="19"/>
    </row>
    <row r="33" spans="1:6" ht="16" x14ac:dyDescent="0.4">
      <c r="A33" s="15" t="s">
        <v>52</v>
      </c>
      <c r="B33" s="6" t="s">
        <v>54</v>
      </c>
      <c r="C33" s="6" t="s">
        <v>71</v>
      </c>
      <c r="D33" s="6" t="s">
        <v>68</v>
      </c>
    </row>
    <row r="34" spans="1:6" ht="32" customHeight="1" x14ac:dyDescent="0.35">
      <c r="A34">
        <v>50</v>
      </c>
      <c r="B34">
        <f>COUNTIF(Sheet1!F:F,A34)</f>
        <v>864</v>
      </c>
      <c r="C34">
        <f>COUNTIFS(Sheet1!F:F,A34,Sheet1!U:U,1)</f>
        <v>272</v>
      </c>
      <c r="D34">
        <f>C34/B34*100</f>
        <v>31.481481481481481</v>
      </c>
    </row>
    <row r="35" spans="1:6" ht="32" customHeight="1" x14ac:dyDescent="0.35">
      <c r="A35">
        <v>200</v>
      </c>
      <c r="B35">
        <f>COUNTIF(Sheet1!F:F,A35)</f>
        <v>864</v>
      </c>
      <c r="C35">
        <f>COUNTIFS(Sheet1!F:F,A35,Sheet1!U:U,1)</f>
        <v>267</v>
      </c>
      <c r="D35">
        <f>C35/B35*100</f>
        <v>30.902777777777779</v>
      </c>
    </row>
    <row r="36" spans="1:6" ht="32" customHeight="1" x14ac:dyDescent="0.35"/>
    <row r="37" spans="1:6" x14ac:dyDescent="0.35">
      <c r="A37" s="21" t="s">
        <v>98</v>
      </c>
      <c r="B37" s="19"/>
      <c r="C37" s="19"/>
      <c r="D37" s="19"/>
    </row>
    <row r="38" spans="1:6" ht="32" customHeight="1" x14ac:dyDescent="0.35"/>
    <row r="39" spans="1:6" ht="16" x14ac:dyDescent="0.4">
      <c r="A39" s="18" t="s">
        <v>101</v>
      </c>
      <c r="B39" s="19"/>
      <c r="C39" s="19"/>
      <c r="D39" s="19"/>
    </row>
    <row r="40" spans="1:6" ht="32" customHeight="1" x14ac:dyDescent="0.35">
      <c r="A40" s="10" t="s">
        <v>102</v>
      </c>
      <c r="B40" s="6" t="s">
        <v>54</v>
      </c>
      <c r="C40" s="6" t="s">
        <v>71</v>
      </c>
      <c r="D40" s="16" t="s">
        <v>68</v>
      </c>
    </row>
    <row r="41" spans="1:6" ht="32" customHeight="1" x14ac:dyDescent="0.35">
      <c r="A41">
        <v>2</v>
      </c>
      <c r="B41">
        <f>COUNTIF(Sheet1!D:D,A41)</f>
        <v>576</v>
      </c>
      <c r="C41">
        <f>COUNTIFS(Sheet1!D:D,A41,Sheet1!U:U,1)</f>
        <v>203</v>
      </c>
      <c r="D41">
        <f>C41/B41*100</f>
        <v>35.243055555555557</v>
      </c>
      <c r="F41">
        <v>2</v>
      </c>
    </row>
    <row r="42" spans="1:6" ht="32" customHeight="1" x14ac:dyDescent="0.35">
      <c r="A42">
        <v>5</v>
      </c>
      <c r="B42">
        <f>COUNTIF(Sheet1!D:D,A42)</f>
        <v>576</v>
      </c>
      <c r="C42">
        <f>COUNTIFS(Sheet1!D:D,A42,Sheet1!U:U,1)</f>
        <v>159</v>
      </c>
      <c r="D42">
        <f>C42/B42*100</f>
        <v>27.604166666666668</v>
      </c>
    </row>
    <row r="43" spans="1:6" ht="32" customHeight="1" x14ac:dyDescent="0.35">
      <c r="A43">
        <v>10</v>
      </c>
      <c r="B43">
        <f>COUNTIF(Sheet1!D:D,A43)</f>
        <v>576</v>
      </c>
      <c r="C43">
        <f>COUNTIFS(Sheet1!D:D,A43,Sheet1!U:U,1)</f>
        <v>177</v>
      </c>
      <c r="D43">
        <f>C43/B43*100</f>
        <v>30.729166666666668</v>
      </c>
    </row>
    <row r="44" spans="1:6" x14ac:dyDescent="0.35">
      <c r="A44" s="21" t="s">
        <v>103</v>
      </c>
      <c r="B44" s="19"/>
      <c r="C44" s="19"/>
      <c r="D44" s="19"/>
    </row>
    <row r="45" spans="1:6" ht="16" x14ac:dyDescent="0.4">
      <c r="A45" s="18" t="s">
        <v>99</v>
      </c>
      <c r="B45" s="19"/>
      <c r="C45" s="19"/>
      <c r="D45" s="19"/>
    </row>
    <row r="46" spans="1:6" ht="32" customHeight="1" x14ac:dyDescent="0.35">
      <c r="A46" s="19" t="s">
        <v>75</v>
      </c>
      <c r="B46" s="19"/>
      <c r="C46" s="19"/>
      <c r="D46" s="19"/>
      <c r="E46" s="19"/>
    </row>
    <row r="47" spans="1:6" ht="32" customHeight="1" x14ac:dyDescent="0.35">
      <c r="A47" s="19" t="s">
        <v>76</v>
      </c>
      <c r="B47" s="19"/>
      <c r="C47" s="19"/>
      <c r="D47" s="19"/>
      <c r="E47" s="19"/>
    </row>
    <row r="48" spans="1:6" ht="32" customHeight="1" x14ac:dyDescent="0.35">
      <c r="A48" s="19" t="s">
        <v>77</v>
      </c>
      <c r="B48" s="19"/>
      <c r="C48" s="19"/>
      <c r="D48" s="19"/>
      <c r="E48" s="19"/>
    </row>
    <row r="49" spans="1:5" ht="32" customHeight="1" x14ac:dyDescent="0.35">
      <c r="A49" s="19" t="s">
        <v>78</v>
      </c>
      <c r="B49" s="19"/>
      <c r="C49" s="19"/>
      <c r="D49" s="19"/>
      <c r="E49" s="19"/>
    </row>
    <row r="50" spans="1:5" ht="32" customHeight="1" x14ac:dyDescent="0.35">
      <c r="A50" t="s">
        <v>104</v>
      </c>
    </row>
    <row r="51" spans="1:5" ht="32" customHeight="1" x14ac:dyDescent="0.35">
      <c r="A51" s="19" t="s">
        <v>107</v>
      </c>
      <c r="B51" s="19"/>
      <c r="C51" s="19"/>
      <c r="D51" s="19"/>
      <c r="E51" s="19"/>
    </row>
    <row r="52" spans="1:5" x14ac:dyDescent="0.35">
      <c r="A52" t="s">
        <v>108</v>
      </c>
    </row>
  </sheetData>
  <mergeCells count="17">
    <mergeCell ref="A49:E49"/>
    <mergeCell ref="A51:E51"/>
    <mergeCell ref="A46:E46"/>
    <mergeCell ref="A44:D44"/>
    <mergeCell ref="A37:D37"/>
    <mergeCell ref="A45:D45"/>
    <mergeCell ref="A39:D39"/>
    <mergeCell ref="A27:D27"/>
    <mergeCell ref="A47:E47"/>
    <mergeCell ref="A48:E48"/>
    <mergeCell ref="A32:D32"/>
    <mergeCell ref="A1:F1"/>
    <mergeCell ref="A3:E3"/>
    <mergeCell ref="A10:E10"/>
    <mergeCell ref="A12:D12"/>
    <mergeCell ref="A18:D18"/>
    <mergeCell ref="A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A875-E6B8-4B6E-AB6E-C51E9C69F9D9}">
  <dimension ref="A1:M8"/>
  <sheetViews>
    <sheetView tabSelected="1" zoomScale="50" workbookViewId="0">
      <selection activeCell="J4" sqref="J4"/>
    </sheetView>
  </sheetViews>
  <sheetFormatPr defaultRowHeight="14.5" x14ac:dyDescent="0.35"/>
  <cols>
    <col min="1" max="6" width="13.6328125" customWidth="1"/>
  </cols>
  <sheetData>
    <row r="1" spans="1:13" ht="16" x14ac:dyDescent="0.4">
      <c r="A1" s="15" t="s">
        <v>114</v>
      </c>
      <c r="H1" s="15" t="s">
        <v>121</v>
      </c>
    </row>
    <row r="2" spans="1:13" x14ac:dyDescent="0.35">
      <c r="A2" s="27" t="s">
        <v>36</v>
      </c>
      <c r="B2" s="28" t="s">
        <v>115</v>
      </c>
      <c r="C2" s="28" t="s">
        <v>116</v>
      </c>
      <c r="D2" s="28" t="s">
        <v>117</v>
      </c>
      <c r="E2" s="28" t="s">
        <v>118</v>
      </c>
      <c r="F2" s="28" t="s">
        <v>119</v>
      </c>
      <c r="H2" s="28" t="s">
        <v>36</v>
      </c>
      <c r="I2" s="28" t="s">
        <v>115</v>
      </c>
      <c r="J2" s="28" t="s">
        <v>116</v>
      </c>
      <c r="K2" s="28" t="s">
        <v>117</v>
      </c>
      <c r="L2" s="28" t="s">
        <v>118</v>
      </c>
      <c r="M2" s="28" t="s">
        <v>119</v>
      </c>
    </row>
    <row r="3" spans="1:13" x14ac:dyDescent="0.35">
      <c r="A3" t="s">
        <v>25</v>
      </c>
      <c r="B3" s="4">
        <f>COUNTIFS(Sheet1!$E:$E,$A3,Sheet1!$C:$C,1,Sheet1!$T:$T,TRUE)/COUNTIFS(Sheet1!$E:$E,$A3,Sheet1!$C:$C,1)*100</f>
        <v>61.111111111111114</v>
      </c>
      <c r="C3" s="4">
        <f>COUNTIFS(Sheet1!$E:$E,$A3,Sheet1!$C:$C,2,Sheet1!$T:$T,TRUE)/COUNTIFS(Sheet1!$E:$E,$A3,Sheet1!$C:$C,2)*100</f>
        <v>23.611111111111111</v>
      </c>
      <c r="D3" s="4">
        <f>COUNTIFS(Sheet1!$E:$E,$A3,Sheet1!$C:$C,3,Sheet1!$T:$T,TRUE)/COUNTIFS(Sheet1!$E:$E,$A3,Sheet1!$C:$C,3)*100</f>
        <v>43.055555555555557</v>
      </c>
      <c r="E3" s="4">
        <f>COUNTIFS(Sheet1!$E:$E,$A3,Sheet1!$C:$C,5,Sheet1!$T:$T,TRUE)/COUNTIFS(Sheet1!$E:$E,$A3,Sheet1!$C:$C,5)*100</f>
        <v>33.333333333333329</v>
      </c>
      <c r="F3" s="29">
        <f>COUNTIFS(Sheet1!$E:$E,$A3,Sheet1!$T:$T,TRUE)/COUNTIFS(Sheet1!$E:$E,$A3)*100</f>
        <v>40.277777777777779</v>
      </c>
      <c r="H3" t="s">
        <v>25</v>
      </c>
      <c r="I3" s="4">
        <f>COUNTIFS(Sheet1!$E:$E,$H3,Sheet1!$C:$C,1,Sheet1!$U:$U,1)/COUNTIFS(Sheet1!$E:$E,$H3,Sheet1!$C:$C,1)*100</f>
        <v>15.277777777777779</v>
      </c>
      <c r="J3" s="4">
        <f>COUNTIFS(Sheet1!$E:$E,$H3,Sheet1!$C:$C,2,Sheet1!$U:$U,1)/COUNTIFS(Sheet1!$E:$E,$H3,Sheet1!$C:$C,2)*100</f>
        <v>37.5</v>
      </c>
      <c r="K3" s="4">
        <f>COUNTIFS(Sheet1!$E:$E,$H3,Sheet1!$C:$C,3,Sheet1!$U:$U,1)/COUNTIFS(Sheet1!$E:$E,$H3,Sheet1!$C:$C,3)*100</f>
        <v>41.666666666666671</v>
      </c>
      <c r="L3" s="4">
        <f>COUNTIFS(Sheet1!$E:$E,$H3,Sheet1!$C:$C,5,Sheet1!$U:$U,1)/COUNTIFS(Sheet1!$E:$E,$H3,Sheet1!$C:$C,5)*100</f>
        <v>36.111111111111107</v>
      </c>
      <c r="M3" s="29">
        <f>COUNTIFS(Sheet1!$E:$E,$H3,Sheet1!$U:$U,1)/COUNTIFS(Sheet1!$E:$E,$H3)*100</f>
        <v>32.638888888888893</v>
      </c>
    </row>
    <row r="4" spans="1:13" x14ac:dyDescent="0.35">
      <c r="A4" s="30" t="s">
        <v>22</v>
      </c>
      <c r="B4" s="31">
        <f>COUNTIFS(Sheet1!$E:$E,$A4,Sheet1!$C:$C,1,Sheet1!$T:$T,TRUE)/COUNTIFS(Sheet1!$E:$E,$A4,Sheet1!$C:$C,1)*100</f>
        <v>1.3888888888888888</v>
      </c>
      <c r="C4" s="31">
        <f>COUNTIFS(Sheet1!$E:$E,$A4,Sheet1!$C:$C,2,Sheet1!$T:$T,TRUE)/COUNTIFS(Sheet1!$E:$E,$A4,Sheet1!$C:$C,2)*100</f>
        <v>0</v>
      </c>
      <c r="D4" s="31">
        <f>COUNTIFS(Sheet1!$E:$E,$A4,Sheet1!$C:$C,3,Sheet1!$T:$T,TRUE)/COUNTIFS(Sheet1!$E:$E,$A4,Sheet1!$C:$C,3)*100</f>
        <v>15.277777777777779</v>
      </c>
      <c r="E4" s="31">
        <f>COUNTIFS(Sheet1!$E:$E,$A4,Sheet1!$C:$C,5,Sheet1!$T:$T,TRUE)/COUNTIFS(Sheet1!$E:$E,$A4,Sheet1!$C:$C,5)*100</f>
        <v>8.3333333333333321</v>
      </c>
      <c r="F4" s="32">
        <f>COUNTIFS(Sheet1!$E:$E,$A4,Sheet1!$T:$T,TRUE)/COUNTIFS(Sheet1!$E:$E,$A4)*100</f>
        <v>6.25</v>
      </c>
      <c r="H4" s="30" t="s">
        <v>22</v>
      </c>
      <c r="I4" s="31">
        <f>COUNTIFS(Sheet1!$E:$E,$H4,Sheet1!$C:$C,1,Sheet1!$U:$U,1)/COUNTIFS(Sheet1!$E:$E,$H4,Sheet1!$C:$C,1)*100</f>
        <v>27.777777777777779</v>
      </c>
      <c r="J4" s="31">
        <f>COUNTIFS(Sheet1!$E:$E,$H4,Sheet1!$C:$C,2,Sheet1!$U:$U,1)/COUNTIFS(Sheet1!$E:$E,$H4,Sheet1!$C:$C,2)*100</f>
        <v>29.166666666666668</v>
      </c>
      <c r="K4" s="31">
        <f>COUNTIFS(Sheet1!$E:$E,$H4,Sheet1!$C:$C,3,Sheet1!$U:$U,1)/COUNTIFS(Sheet1!$E:$E,$H4,Sheet1!$C:$C,3)*100</f>
        <v>30.555555555555557</v>
      </c>
      <c r="L4" s="31">
        <f>COUNTIFS(Sheet1!$E:$E,$H4,Sheet1!$C:$C,5,Sheet1!$U:$U,1)/COUNTIFS(Sheet1!$E:$E,$H4,Sheet1!$C:$C,5)*100</f>
        <v>35.416666666666671</v>
      </c>
      <c r="M4" s="32">
        <f>COUNTIFS(Sheet1!$E:$E,$H4,Sheet1!$U:$U,1)/COUNTIFS(Sheet1!$E:$E,$H4)*100</f>
        <v>30.729166666666668</v>
      </c>
    </row>
    <row r="5" spans="1:13" x14ac:dyDescent="0.35">
      <c r="A5" t="s">
        <v>29</v>
      </c>
      <c r="B5" s="4">
        <f>COUNTIFS(Sheet1!$E:$E,$A5,Sheet1!$C:$C,1,Sheet1!$T:$T,TRUE)/COUNTIFS(Sheet1!$E:$E,$A5,Sheet1!$C:$C,1)*100</f>
        <v>25</v>
      </c>
      <c r="C5" s="4">
        <f>COUNTIFS(Sheet1!$E:$E,$A5,Sheet1!$C:$C,2,Sheet1!$T:$T,TRUE)/COUNTIFS(Sheet1!$E:$E,$A5,Sheet1!$C:$C,2)*100</f>
        <v>29.166666666666668</v>
      </c>
      <c r="D5" s="4">
        <f>COUNTIFS(Sheet1!$E:$E,$A5,Sheet1!$C:$C,3,Sheet1!$T:$T,TRUE)/COUNTIFS(Sheet1!$E:$E,$A5,Sheet1!$C:$C,3)*100</f>
        <v>30.555555555555557</v>
      </c>
      <c r="E5" s="4">
        <f>COUNTIFS(Sheet1!$E:$E,$A5,Sheet1!$C:$C,5,Sheet1!$T:$T,TRUE)/COUNTIFS(Sheet1!$E:$E,$A5,Sheet1!$C:$C,5)*100</f>
        <v>32.638888888888893</v>
      </c>
      <c r="F5" s="29">
        <f>COUNTIFS(Sheet1!$E:$E,$A5,Sheet1!$T:$T,TRUE)/COUNTIFS(Sheet1!$E:$E,$A5)*100</f>
        <v>29.340277777777779</v>
      </c>
      <c r="H5" t="s">
        <v>29</v>
      </c>
      <c r="I5" s="4">
        <f>COUNTIFS(Sheet1!$E:$E,$H5,Sheet1!$C:$C,1,Sheet1!$U:$U,1)/COUNTIFS(Sheet1!$E:$E,$H5,Sheet1!$C:$C,1)*100</f>
        <v>36.111111111111107</v>
      </c>
      <c r="J5" s="4">
        <f>COUNTIFS(Sheet1!$E:$E,$H5,Sheet1!$C:$C,2,Sheet1!$U:$U,1)/COUNTIFS(Sheet1!$E:$E,$H5,Sheet1!$C:$C,2)*100</f>
        <v>22.916666666666664</v>
      </c>
      <c r="K5" s="4">
        <f>COUNTIFS(Sheet1!$E:$E,$H5,Sheet1!$C:$C,3,Sheet1!$U:$U,1)/COUNTIFS(Sheet1!$E:$E,$H5,Sheet1!$C:$C,3)*100</f>
        <v>31.944444444444443</v>
      </c>
      <c r="L5" s="4">
        <f>COUNTIFS(Sheet1!$E:$E,$H5,Sheet1!$C:$C,5,Sheet1!$U:$U,1)/COUNTIFS(Sheet1!$E:$E,$H5,Sheet1!$C:$C,5)*100</f>
        <v>29.861111111111111</v>
      </c>
      <c r="M5" s="29">
        <f>COUNTIFS(Sheet1!$E:$E,$H5,Sheet1!$U:$U,1)/COUNTIFS(Sheet1!$E:$E,$H5)*100</f>
        <v>30.208333333333332</v>
      </c>
    </row>
    <row r="6" spans="1:13" x14ac:dyDescent="0.35">
      <c r="A6" s="33" t="s">
        <v>120</v>
      </c>
      <c r="B6" s="34">
        <f>COUNTIFS(Sheet1!$C:$C,1,Sheet1!$T:$T,TRUE)/COUNTIF(Sheet1!$C:$C,1)*100</f>
        <v>29.166666666666668</v>
      </c>
      <c r="C6" s="34">
        <f>COUNTIFS(Sheet1!$C:$C,2,Sheet1!$T:$T,TRUE)/COUNTIF(Sheet1!$C:$C,2)*100</f>
        <v>17.592592592592592</v>
      </c>
      <c r="D6" s="34">
        <f>COUNTIFS(Sheet1!$C:$C,3,Sheet1!$T:$T,TRUE)/COUNTIF(Sheet1!$C:$C,3)*100</f>
        <v>29.629629629629626</v>
      </c>
      <c r="E6" s="34">
        <f>COUNTIFS(Sheet1!$C:$C,5,Sheet1!$T:$T,TRUE)/COUNTIF(Sheet1!$C:$C,5)*100</f>
        <v>24.768518518518519</v>
      </c>
      <c r="F6" s="34">
        <f>COUNTIF(Sheet1!$T:$T,TRUE)/(COUNTIF(Sheet1!$T:$T,TRUE)+COUNTIF(Sheet1!$T:$T,FALSE))*100</f>
        <v>25.289351851851855</v>
      </c>
      <c r="H6" s="33" t="s">
        <v>120</v>
      </c>
      <c r="I6" s="34">
        <f>COUNTIFS(Sheet1!$C:$C,1,Sheet1!$U:$U,1)/COUNTIF(Sheet1!$C:$C,1)*100</f>
        <v>26.388888888888889</v>
      </c>
      <c r="J6" s="34">
        <f>COUNTIFS(Sheet1!$C:$C,2,Sheet1!$U:$U,1)/COUNTIF(Sheet1!$C:$C,2)*100</f>
        <v>29.861111111111111</v>
      </c>
      <c r="K6" s="34">
        <f>COUNTIFS(Sheet1!$C:$C,3,Sheet1!$U:$U,1)/COUNTIF(Sheet1!$C:$C,3)*100</f>
        <v>34.722222222222221</v>
      </c>
      <c r="L6" s="34">
        <f>COUNTIFS(Sheet1!$C:$C,5,Sheet1!$U:$U,1)/COUNTIF(Sheet1!$C:$C,5)*100</f>
        <v>33.796296296296298</v>
      </c>
      <c r="M6" s="34">
        <f>COUNTIF(Sheet1!$U:$U,1)/(COUNTIF(Sheet1!$T:$T,TRUE)+COUNTIF(Sheet1!$T:$T,FALSE))*100</f>
        <v>31.192129629629626</v>
      </c>
    </row>
    <row r="8" spans="1:13" x14ac:dyDescent="0.35">
      <c r="A8" s="26" t="s">
        <v>122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0725-EBB0-4102-8767-B8A5D0DA5DCE}">
  <dimension ref="A1:I7"/>
  <sheetViews>
    <sheetView zoomScale="58" workbookViewId="0">
      <selection activeCell="M21" sqref="M21"/>
    </sheetView>
  </sheetViews>
  <sheetFormatPr defaultRowHeight="14.5" x14ac:dyDescent="0.35"/>
  <cols>
    <col min="1" max="15" width="16.36328125" customWidth="1"/>
  </cols>
  <sheetData>
    <row r="1" spans="1:9" ht="16" x14ac:dyDescent="0.4">
      <c r="A1" s="15" t="s">
        <v>123</v>
      </c>
      <c r="F1" s="15" t="s">
        <v>127</v>
      </c>
    </row>
    <row r="2" spans="1:9" x14ac:dyDescent="0.35">
      <c r="A2" s="27" t="s">
        <v>36</v>
      </c>
      <c r="B2" s="28" t="s">
        <v>124</v>
      </c>
      <c r="C2" s="28" t="s">
        <v>125</v>
      </c>
      <c r="D2" s="35" t="s">
        <v>126</v>
      </c>
      <c r="F2" s="27" t="s">
        <v>36</v>
      </c>
      <c r="G2" s="28" t="s">
        <v>124</v>
      </c>
      <c r="H2" s="28" t="s">
        <v>125</v>
      </c>
      <c r="I2" s="35" t="s">
        <v>126</v>
      </c>
    </row>
    <row r="3" spans="1:9" x14ac:dyDescent="0.35">
      <c r="A3" t="s">
        <v>25</v>
      </c>
      <c r="B3" s="5">
        <f>COUNTIFS(Sheet1!$E:$E,$A3,Sheet1!$F:$F,50,Sheet1!$T:$T,TRUE)/COUNTIFS(Sheet1!$E:$E,$A3,Sheet1!$F:$F,50)*100</f>
        <v>40.277777777777779</v>
      </c>
      <c r="C3" s="5">
        <f>COUNTIFS(Sheet1!$E:$E,$A3,Sheet1!$F:$F,200,Sheet1!$T:$T,TRUE)/COUNTIFS(Sheet1!$E:$E,$A3,Sheet1!$F:$F,200)*100</f>
        <v>40.277777777777779</v>
      </c>
      <c r="D3" s="36">
        <f>C3-B3</f>
        <v>0</v>
      </c>
      <c r="F3" t="s">
        <v>25</v>
      </c>
      <c r="G3" s="5">
        <f>COUNTIFS(Sheet1!$E:$E,$F3,Sheet1!$F:$F,50,Sheet1!$U:$U,1)/COUNTIFS(Sheet1!$E:$E,$F3,Sheet1!$F:$F,50)*100</f>
        <v>32.638888888888893</v>
      </c>
      <c r="H3" s="5">
        <f>COUNTIFS(Sheet1!$E:$E,$F3,Sheet1!$F:$F,200,Sheet1!$U:$U,1)/COUNTIFS(Sheet1!$E:$E,$F3,Sheet1!$F:$F,200)*100</f>
        <v>32.638888888888893</v>
      </c>
      <c r="I3" s="36">
        <f>H3-G3</f>
        <v>0</v>
      </c>
    </row>
    <row r="4" spans="1:9" x14ac:dyDescent="0.35">
      <c r="A4" t="s">
        <v>22</v>
      </c>
      <c r="B4" s="5">
        <f>COUNTIFS(Sheet1!$E:$E,$A4,Sheet1!$F:$F,50,Sheet1!$T:$T,TRUE)/COUNTIFS(Sheet1!$E:$E,$A4,Sheet1!$F:$F,50)*100</f>
        <v>6.25</v>
      </c>
      <c r="C4" s="5">
        <f>COUNTIFS(Sheet1!$E:$E,$A4,Sheet1!$F:$F,200,Sheet1!$T:$T,TRUE)/COUNTIFS(Sheet1!$E:$E,$A4,Sheet1!$F:$F,200)*100</f>
        <v>6.25</v>
      </c>
      <c r="D4" s="36">
        <f>C4-B4</f>
        <v>0</v>
      </c>
      <c r="F4" t="s">
        <v>22</v>
      </c>
      <c r="G4" s="5">
        <f>COUNTIFS(Sheet1!$E:$E,$F4,Sheet1!$F:$F,50,Sheet1!$U:$U,1)/COUNTIFS(Sheet1!$E:$E,$F4,Sheet1!$F:$F,50)*100</f>
        <v>31.25</v>
      </c>
      <c r="H4" s="5">
        <f>COUNTIFS(Sheet1!$E:$E,$F4,Sheet1!$F:$F,200,Sheet1!$U:$U,1)/COUNTIFS(Sheet1!$E:$E,$F4,Sheet1!$F:$F,200)*100</f>
        <v>30.208333333333332</v>
      </c>
      <c r="I4" s="36">
        <f>H4-G4</f>
        <v>-1.0416666666666679</v>
      </c>
    </row>
    <row r="5" spans="1:9" x14ac:dyDescent="0.35">
      <c r="A5" s="37" t="s">
        <v>29</v>
      </c>
      <c r="B5" s="38">
        <f>COUNTIFS(Sheet1!$E:$E,$A5,Sheet1!$F:$F,50,Sheet1!$T:$T,TRUE)/COUNTIFS(Sheet1!$E:$E,$A5,Sheet1!$F:$F,50)*100</f>
        <v>31.944444444444443</v>
      </c>
      <c r="C5" s="38">
        <f>COUNTIFS(Sheet1!$E:$E,$A5,Sheet1!$F:$F,200,Sheet1!$T:$T,TRUE)/COUNTIFS(Sheet1!$E:$E,$A5,Sheet1!$F:$F,200)*100</f>
        <v>26.736111111111111</v>
      </c>
      <c r="D5" s="39">
        <f>C5-B5</f>
        <v>-5.2083333333333321</v>
      </c>
      <c r="F5" s="37" t="s">
        <v>29</v>
      </c>
      <c r="G5" s="38">
        <f>COUNTIFS(Sheet1!$E:$E,$F5,Sheet1!$F:$F,50,Sheet1!$U:$U,1)/COUNTIFS(Sheet1!$E:$E,$F5,Sheet1!$F:$F,50)*100</f>
        <v>30.555555555555557</v>
      </c>
      <c r="H5" s="38">
        <f>COUNTIFS(Sheet1!$E:$E,$F5,Sheet1!$F:$F,200,Sheet1!$U:$U,1)/COUNTIFS(Sheet1!$E:$E,$F5,Sheet1!$F:$F,200)*100</f>
        <v>29.861111111111111</v>
      </c>
      <c r="I5" s="39">
        <f>H5-G5</f>
        <v>-0.69444444444444642</v>
      </c>
    </row>
    <row r="7" spans="1:9" x14ac:dyDescent="0.35">
      <c r="A7" s="26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_ChartData</vt:lpstr>
      <vt:lpstr>Time Analysis</vt:lpstr>
      <vt:lpstr>Validity Analysis</vt:lpstr>
      <vt:lpstr>Ranking Analysis</vt:lpstr>
      <vt:lpstr>P_Disaggregated</vt:lpstr>
      <vt:lpstr>MaxIter_Disaggregated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Almousa</dc:creator>
  <cp:lastModifiedBy>Leen Almousa</cp:lastModifiedBy>
  <dcterms:created xsi:type="dcterms:W3CDTF">2026-04-17T09:00:20Z</dcterms:created>
  <dcterms:modified xsi:type="dcterms:W3CDTF">2026-04-19T09:21:04Z</dcterms:modified>
</cp:coreProperties>
</file>